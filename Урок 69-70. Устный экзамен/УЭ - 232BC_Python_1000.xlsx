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IT Step\Bootcamp\PB\Урок 71-72. Устный экзамен\"/>
    </mc:Choice>
  </mc:AlternateContent>
  <xr:revisionPtr revIDLastSave="0" documentId="13_ncr:1_{1A7A6E08-3E93-4EC0-9A09-F1C84641DD0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1 (2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3" l="1"/>
  <c r="R4" i="3" s="1"/>
  <c r="Q2" i="3"/>
  <c r="Q4" i="3" s="1"/>
  <c r="P2" i="3"/>
  <c r="P4" i="3" s="1"/>
  <c r="O2" i="3"/>
  <c r="O4" i="3" s="1"/>
  <c r="N2" i="3"/>
  <c r="N4" i="3" s="1"/>
  <c r="M2" i="3"/>
  <c r="M3" i="3" s="1"/>
  <c r="L2" i="3"/>
  <c r="L4" i="3" s="1"/>
  <c r="K2" i="3"/>
  <c r="K4" i="3" s="1"/>
  <c r="J2" i="3"/>
  <c r="J4" i="3" s="1"/>
  <c r="I2" i="3"/>
  <c r="I4" i="3" s="1"/>
  <c r="H2" i="3"/>
  <c r="H4" i="3" s="1"/>
  <c r="G2" i="3"/>
  <c r="G4" i="3" s="1"/>
  <c r="F2" i="3"/>
  <c r="F4" i="3" s="1"/>
  <c r="E2" i="3"/>
  <c r="E3" i="3" s="1"/>
  <c r="D2" i="3"/>
  <c r="D4" i="3" s="1"/>
  <c r="C2" i="3"/>
  <c r="C4" i="3" s="1"/>
  <c r="C3" i="3" l="1"/>
  <c r="K3" i="3"/>
  <c r="L3" i="3"/>
  <c r="M4" i="3"/>
  <c r="F3" i="3"/>
  <c r="N3" i="3"/>
  <c r="D3" i="3"/>
  <c r="E4" i="3"/>
  <c r="G3" i="3"/>
  <c r="O3" i="3"/>
  <c r="H3" i="3"/>
  <c r="P3" i="3"/>
  <c r="I3" i="3"/>
  <c r="Q3" i="3"/>
  <c r="J3" i="3"/>
  <c r="R3" i="3"/>
  <c r="D2" i="1"/>
  <c r="D3" i="1" s="1"/>
  <c r="E2" i="1"/>
  <c r="E3" i="1" s="1"/>
  <c r="F2" i="1"/>
  <c r="F4" i="1" s="1"/>
  <c r="G2" i="1"/>
  <c r="G4" i="1" s="1"/>
  <c r="H2" i="1"/>
  <c r="H4" i="1" s="1"/>
  <c r="I2" i="1"/>
  <c r="I4" i="1" s="1"/>
  <c r="J2" i="1"/>
  <c r="J4" i="1" s="1"/>
  <c r="K2" i="1"/>
  <c r="K4" i="1" s="1"/>
  <c r="L2" i="1"/>
  <c r="L3" i="1" s="1"/>
  <c r="M2" i="1"/>
  <c r="M3" i="1" s="1"/>
  <c r="N2" i="1"/>
  <c r="N4" i="1" s="1"/>
  <c r="O2" i="1"/>
  <c r="O4" i="1" s="1"/>
  <c r="P2" i="1"/>
  <c r="P4" i="1" s="1"/>
  <c r="Q2" i="1"/>
  <c r="Q4" i="1" s="1"/>
  <c r="R2" i="1"/>
  <c r="R4" i="1" s="1"/>
  <c r="C2" i="1"/>
  <c r="C4" i="1" s="1"/>
  <c r="C3" i="1" l="1"/>
  <c r="M4" i="1"/>
  <c r="K3" i="1"/>
  <c r="D4" i="1"/>
  <c r="L4" i="1"/>
  <c r="R3" i="1"/>
  <c r="J3" i="1"/>
  <c r="Q3" i="1"/>
  <c r="I3" i="1"/>
  <c r="P3" i="1"/>
  <c r="H3" i="1"/>
  <c r="O3" i="1"/>
  <c r="G3" i="1"/>
  <c r="N3" i="1"/>
  <c r="F3" i="1"/>
  <c r="E4" i="1"/>
</calcChain>
</file>

<file path=xl/sharedStrings.xml><?xml version="1.0" encoding="utf-8"?>
<sst xmlns="http://schemas.openxmlformats.org/spreadsheetml/2006/main" count="434" uniqueCount="214">
  <si>
    <t>Имя Фамилия Отчество</t>
  </si>
  <si>
    <t>ОБЩИЕ</t>
  </si>
  <si>
    <t>Дайте полное описание языка программирования Python.</t>
  </si>
  <si>
    <t>У языка программирования Python какая типизация?</t>
  </si>
  <si>
    <t>Что мы называем переменной в Python?</t>
  </si>
  <si>
    <t>Что мы можем делать с переменными?</t>
  </si>
  <si>
    <t>Какие типы данных Вы знаете?</t>
  </si>
  <si>
    <t>УСЛОВНЫЕ КОНСТРУКЦИИ</t>
  </si>
  <si>
    <t>Что такое булевая переменная?</t>
  </si>
  <si>
    <t>Как мы можем составлять условия?</t>
  </si>
  <si>
    <t>Какие операторы помогают нам составлять условия?</t>
  </si>
  <si>
    <t>Какие условные конструкции Вы знаете?</t>
  </si>
  <si>
    <t>Из каких частей состоят условные конструкции?</t>
  </si>
  <si>
    <t>Что мы пишем после ключевого слова if?</t>
  </si>
  <si>
    <t>Что мы пишем после ключевого слова elif?</t>
  </si>
  <si>
    <t>Что мы пишем после ключевого слова else?</t>
  </si>
  <si>
    <t>Можно ли использовать ключевое слово if без elif и else?</t>
  </si>
  <si>
    <t>Можно ли использовать ключевое слово elif без слова if?</t>
  </si>
  <si>
    <t>Можно ли использовать ключевое слово else без слова if?</t>
  </si>
  <si>
    <t>В чём разница if... if... от if... elif...</t>
  </si>
  <si>
    <t>Как в Python создать цикл?</t>
  </si>
  <si>
    <t>Какие в Python есть циклы?</t>
  </si>
  <si>
    <t>Как работает цикл while?</t>
  </si>
  <si>
    <t>Как сделать бесконечный цикл в while?</t>
  </si>
  <si>
    <t>В каких случаях удобнее использовать цикл while?</t>
  </si>
  <si>
    <t>Как работает цикл for?</t>
  </si>
  <si>
    <t>В каких случаях удобнее использовать цикл for?</t>
  </si>
  <si>
    <t>В вашем понимании, что делает в цикле for функция range()?</t>
  </si>
  <si>
    <t>Какие параметры есть у функции range()?</t>
  </si>
  <si>
    <t>range(7) какую последовательность вернёт?</t>
  </si>
  <si>
    <t>range(3, 7) какую последовательность вернёт?</t>
  </si>
  <si>
    <t>range(3, 7, 4) какую последовательность вернёт?</t>
  </si>
  <si>
    <t>range(5, 2) какую последовательность вернёт?</t>
  </si>
  <si>
    <t>range(4, 0, -1) какую последовательность вернёт?</t>
  </si>
  <si>
    <t>Как сделать бесконечный цикл, используя for?</t>
  </si>
  <si>
    <t>Какие коллекции есть в Python?</t>
  </si>
  <si>
    <t>Дайте описание string.</t>
  </si>
  <si>
    <t>Что такое индекс у string?</t>
  </si>
  <si>
    <t>Как создать пустой string?</t>
  </si>
  <si>
    <t>В string можно ли узнать, на какой позиции находится определённый элемент?</t>
  </si>
  <si>
    <t>В string что произойдёт, если обратиться к индексу, который больше размера коллекции?</t>
  </si>
  <si>
    <t>Какие методы есть у коллекции string?</t>
  </si>
  <si>
    <t>Если сложить строки "Hello" и "World" что примерно будет происходить в памяти?</t>
  </si>
  <si>
    <t>Опишите алгоритм поиска символа в строке.</t>
  </si>
  <si>
    <t>В коллекции string как можно реализовать удаление определённого символа?</t>
  </si>
  <si>
    <t>В памяти как хранится string?</t>
  </si>
  <si>
    <t>Для каких задач лучше использовать string?</t>
  </si>
  <si>
    <t>Дайте полное описание list.</t>
  </si>
  <si>
    <t>Что такое индекс у list?</t>
  </si>
  <si>
    <t>Как создать пустой list?</t>
  </si>
  <si>
    <t>В list можно ли узнать, на какой позиции находится определённый элемент?</t>
  </si>
  <si>
    <t>В list что произойдёт, если обратиться к индексу, который больше размера коллекции?</t>
  </si>
  <si>
    <t>В list можно ли поменять элемент по индексу?</t>
  </si>
  <si>
    <t>Какие операции мы можем производить над списками?</t>
  </si>
  <si>
    <t>Как можно добавлять элементы в список?</t>
  </si>
  <si>
    <t>Как можно удалять элементы из списка?</t>
  </si>
  <si>
    <t>Как можно объединить несколько списков?</t>
  </si>
  <si>
    <t>Опишите алгоритм поиска элемента в списке.</t>
  </si>
  <si>
    <t>Что такое вложенный список?</t>
  </si>
  <si>
    <t>Как копировать список?</t>
  </si>
  <si>
    <t>Ситуация - создаём переменную, приравниваем к ней список. Создаём вторую переменную, приравниваем к первой переменной. Во второй переменной будет находиться копия?</t>
  </si>
  <si>
    <t>В памяти как хранится list?</t>
  </si>
  <si>
    <t>Для каких задач лучше использовать list?</t>
  </si>
  <si>
    <t>Дайте полное описание tuple.</t>
  </si>
  <si>
    <t>Что такое индекс у tuple?</t>
  </si>
  <si>
    <t>Как создать пустой tuple?</t>
  </si>
  <si>
    <t>В tuple можно ли узнать, на какой позиции находится определённый элемент?</t>
  </si>
  <si>
    <t>В tuple что произойдёт, если обратиться к индексу, который больше размера коллекции?</t>
  </si>
  <si>
    <t>В tuple можно ли поменять элемент по индексу?</t>
  </si>
  <si>
    <t>Какие операции мы можем производить над tuple?</t>
  </si>
  <si>
    <t>Как можно добавлять элементы в tuple?</t>
  </si>
  <si>
    <t>Как можно удалять элементы из tuple?</t>
  </si>
  <si>
    <t>Как можно объединить несколько tuple?</t>
  </si>
  <si>
    <t>Опишите алгоритм поиска элемента в tuple.</t>
  </si>
  <si>
    <t>В памяти как хранится tuple?</t>
  </si>
  <si>
    <t>Для каких задач лучше использовать tuple?</t>
  </si>
  <si>
    <t>Дайте полное описание set.</t>
  </si>
  <si>
    <t>В set как можно узнать индекс элемента?</t>
  </si>
  <si>
    <t>Как создать пустой set?</t>
  </si>
  <si>
    <t>Какие операции мы можем производить над set?</t>
  </si>
  <si>
    <t>Как можно добавлять элементы в set?</t>
  </si>
  <si>
    <t>Как можно удалять элементы из set?</t>
  </si>
  <si>
    <t>Как можно объединить несколько set?</t>
  </si>
  <si>
    <t>В памяти как хранится set?</t>
  </si>
  <si>
    <t>Для каких задач лучше использовать set?</t>
  </si>
  <si>
    <t>Дайте полное описание dictionary.</t>
  </si>
  <si>
    <t>Как создать пустой dictionary?</t>
  </si>
  <si>
    <t>В dictionary как можно обратиться к элементу?</t>
  </si>
  <si>
    <t>Что произойдёт, если обратиться к несуществующему ключу?</t>
  </si>
  <si>
    <t>Какие операции мы можем производить над dictionary?</t>
  </si>
  <si>
    <t>Как можно добавлять элементы в dictionary?</t>
  </si>
  <si>
    <t>Как можно удалять элементы из dictionary?</t>
  </si>
  <si>
    <t>Опишите алгоритм поиска значения в dictionary.</t>
  </si>
  <si>
    <t>Что такое вложенный словарь?</t>
  </si>
  <si>
    <t>В памяти как хранится dictionary?</t>
  </si>
  <si>
    <t>Для каких задач лучше использовать dictionary?</t>
  </si>
  <si>
    <t>Какие виды поисков Вы знаете?</t>
  </si>
  <si>
    <t>Что такое линейный поиск?</t>
  </si>
  <si>
    <t>Что такое бинарный поиск?</t>
  </si>
  <si>
    <t>Когда бинарный поиск не будет работать?</t>
  </si>
  <si>
    <t>Если коллекция отсортирована по возрастанию, бинарный поиск будет работать?</t>
  </si>
  <si>
    <t>Если коллекция отсортирована по убыванию, бинарный поиск будет работать?</t>
  </si>
  <si>
    <t>Какие виды сортировок Вы знаете?</t>
  </si>
  <si>
    <t>Чем отличаются сортировки помимо алгоритмов?</t>
  </si>
  <si>
    <t>Что такое функция?</t>
  </si>
  <si>
    <t>Как создать функцию?</t>
  </si>
  <si>
    <t>Что такое сигнатура функции?</t>
  </si>
  <si>
    <t>Что такое аргументы функции?</t>
  </si>
  <si>
    <t>Что такое параметры функции?</t>
  </si>
  <si>
    <t>Для чего нужен return в функции?</t>
  </si>
  <si>
    <t>Функция всегда что-то возвращает? Назовите пример, когда функция возвращает неявно.</t>
  </si>
  <si>
    <t>Если мы не указываем return в функции, она будет что-то возвращать?</t>
  </si>
  <si>
    <t>Какие виды передач аргументов в функцию Вы знаете?</t>
  </si>
  <si>
    <t>Как сделать параметр функции необязательным?</t>
  </si>
  <si>
    <t>Что нужно использовать в функции, чтобы она могла принимать аргументы через запятую? В какой тип данных она упаковывает?</t>
  </si>
  <si>
    <t>Какие области видимости есть в Python? Что такое LEGB?</t>
  </si>
  <si>
    <t>Что является локальной областью для функции?</t>
  </si>
  <si>
    <t>Что является глобальной областью для функции?</t>
  </si>
  <si>
    <t>Что является областью built-in?</t>
  </si>
  <si>
    <t>В каком случае можно увидеть enclosing область?</t>
  </si>
  <si>
    <t>Что такое замыкание и когда оно возникает?</t>
  </si>
  <si>
    <t>Какая функция называется охватывающей?</t>
  </si>
  <si>
    <t>Что является для функции локальными переменными?</t>
  </si>
  <si>
    <t>Что является для функции глобальными переменными?</t>
  </si>
  <si>
    <t>Можно ли напрямую обращаться к локальным переменным функции вне этой функции?</t>
  </si>
  <si>
    <t>Можно ли напрямую обращаться к глобальным переменным из функции? Для этого нужно что-то использовать?</t>
  </si>
  <si>
    <t>Почему функции называют объектами первого класса?</t>
  </si>
  <si>
    <t>Какая функция называется функцией высшего порядка?</t>
  </si>
  <si>
    <t>Что такое рекурсивная функция?</t>
  </si>
  <si>
    <t>Что такое карринг?</t>
  </si>
  <si>
    <t>Что такое декораторы и когда их лучше использовать?</t>
  </si>
  <si>
    <t>Что такое лямбда-выражение и когда его лучше использовать?</t>
  </si>
  <si>
    <t>Что такое анонимная функция и когда его лучше использовать?</t>
  </si>
  <si>
    <t>Что такое ООП?</t>
  </si>
  <si>
    <t>Какие есть принципы ООП?</t>
  </si>
  <si>
    <t>Что означает Абстракция? Приведите пример.</t>
  </si>
  <si>
    <t>Что означает Инкапсуляция? Приведите пример.</t>
  </si>
  <si>
    <t>Что такое класс?</t>
  </si>
  <si>
    <t>Что такое поле/атрибут?</t>
  </si>
  <si>
    <t>Что такое метод?</t>
  </si>
  <si>
    <t>Что такое конструктор?</t>
  </si>
  <si>
    <t>Когда вызывается конструктор?</t>
  </si>
  <si>
    <t>Что такое деструктор?</t>
  </si>
  <si>
    <t>Когда вызывается деструктор?</t>
  </si>
  <si>
    <t>Что нужно сделать, чтобы при выводе в консоль объекта мы видели его строковое представление?</t>
  </si>
  <si>
    <t>Для чего нужен метод __str__? Как он называется?</t>
  </si>
  <si>
    <t>Что такое неявная типизация? Назовите пример, где происходит неявная типизация.</t>
  </si>
  <si>
    <t>Что нужно сделать, чтобы не нарушать Инкапсуляцию?</t>
  </si>
  <si>
    <t>Сколько есть спецификаторов доступа?</t>
  </si>
  <si>
    <t>Для чего нужен спецификатор доступа private и как его сделать?</t>
  </si>
  <si>
    <t>Для чего нужен спецификатор доступа public и как его сделать?</t>
  </si>
  <si>
    <t>Для чего нужен спецификатор доступа protected и как его сделать?</t>
  </si>
  <si>
    <t>У каких элементов класса можно выставить спецификатор доступа?</t>
  </si>
  <si>
    <t>Что означает Наследование? Приведите пример.</t>
  </si>
  <si>
    <t>Как создать дочерний класс?</t>
  </si>
  <si>
    <t>С помощью какого ключевого слова можно обратиться к полям и методам родительского класса?</t>
  </si>
  <si>
    <t>Что означает "Переопределить метод"?</t>
  </si>
  <si>
    <t>Что означает "Перегрузка оператора"?</t>
  </si>
  <si>
    <t>Что такое магический метод? Какие магические методы Вы знаете?</t>
  </si>
  <si>
    <t>Что такое метод экземпляра класса?</t>
  </si>
  <si>
    <t>Что такое статический метод?</t>
  </si>
  <si>
    <t>Чем отличается статический метод от метода экземпляра класса?</t>
  </si>
  <si>
    <t>Что такое свойства?</t>
  </si>
  <si>
    <t>Как выглядит геттер и для чего он нужен?</t>
  </si>
  <si>
    <t>Как выглядит сеттер и для чего он нужен?</t>
  </si>
  <si>
    <t>Что означает Полиморфизм? Приведите пример.</t>
  </si>
  <si>
    <t>Что такое "утиная типизация"?</t>
  </si>
  <si>
    <t>Что такое агрегация? Приведите пример.</t>
  </si>
  <si>
    <t>Что такое композиция? Приведите пример.</t>
  </si>
  <si>
    <t>Какие виджеты Вы знаете?</t>
  </si>
  <si>
    <t>Для чего используется виджет Label?</t>
  </si>
  <si>
    <t>Для чего используется виджет Entry?</t>
  </si>
  <si>
    <t>Для чего используется виджет Button?</t>
  </si>
  <si>
    <t>Для чего используется виджет Listbox?</t>
  </si>
  <si>
    <t>Для чего используется виджет Frame?</t>
  </si>
  <si>
    <t>Назовите режимы при работе с файлами.</t>
  </si>
  <si>
    <t>Для чего нужен режим "wb" при работе с файлами?</t>
  </si>
  <si>
    <t>Для чего нужен режим "r" при работе с файлами?</t>
  </si>
  <si>
    <t>Для чего нужен режим "a" при работе с файлами?</t>
  </si>
  <si>
    <t>Опишите, как нужно работать с файлами.</t>
  </si>
  <si>
    <t>В каком случае файлы программ лучше хранить в бинарном виде, а не в текстовом?</t>
  </si>
  <si>
    <t>В каком случае файлы лучше хранить в текстовом виде, а не в бинарном?</t>
  </si>
  <si>
    <t>WHILE</t>
  </si>
  <si>
    <t>FOR</t>
  </si>
  <si>
    <t>STRING</t>
  </si>
  <si>
    <t>LIST</t>
  </si>
  <si>
    <t>TUPLE</t>
  </si>
  <si>
    <t>SET</t>
  </si>
  <si>
    <t>DICTIONARY</t>
  </si>
  <si>
    <t>ПОИСК И СОРТИРОВКА</t>
  </si>
  <si>
    <t>ФУНКЦИИ</t>
  </si>
  <si>
    <t>ООП</t>
  </si>
  <si>
    <t>TKINTER</t>
  </si>
  <si>
    <t>ФАЙЛЫ</t>
  </si>
  <si>
    <t>ЗАДАНО ВОПРОСОВ</t>
  </si>
  <si>
    <t>ИТОГОВЫЙ БАЛЛ</t>
  </si>
  <si>
    <t>ПРОЦЕНТ ВЕРНО ОТВЕЧЕННЫХ ВОПРОСОВ</t>
  </si>
  <si>
    <t>Абасзаде Эльбяй Илькин</t>
  </si>
  <si>
    <t>Аралов Тимур Александрович</t>
  </si>
  <si>
    <t>Багирова Хавер Октай</t>
  </si>
  <si>
    <t>Гулиев Мехди Мубариз</t>
  </si>
  <si>
    <t>Джабиева Пинара Ильгар</t>
  </si>
  <si>
    <t>Джафарли Шемс Ильхам</t>
  </si>
  <si>
    <t>Меликов Юсиф Тахир</t>
  </si>
  <si>
    <t>Мусаева Таира Сабит</t>
  </si>
  <si>
    <t>Нифталиев Кянан Шамиль</t>
  </si>
  <si>
    <t>Рустамли Али Араз</t>
  </si>
  <si>
    <t>Сейидов Мирза Расим</t>
  </si>
  <si>
    <t>Ширинзаде Мухаммед Шараф</t>
  </si>
  <si>
    <t>Какие cвойства есть у коллекций?</t>
  </si>
  <si>
    <t>Что означает свойство "Изменяемость"?</t>
  </si>
  <si>
    <t>Что означает свойство "Упорядоченность"?</t>
  </si>
  <si>
    <t>Что означает свойство "Уникальность"?</t>
  </si>
  <si>
    <t>В string можно ли поменять элемент по индексу напрямую?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</si>
</sst>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476F2"/>
        <bgColor indexed="64"/>
      </patternFill>
    </fill>
    <fill>
      <patternFill patternType="solid">
        <fgColor rgb="FFD7B6F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6D1FB"/>
        <bgColor indexed="64"/>
      </patternFill>
    </fill>
    <fill>
      <patternFill patternType="solid">
        <fgColor rgb="FFF05252"/>
        <bgColor indexed="64"/>
      </patternFill>
    </fill>
    <fill>
      <patternFill patternType="solid">
        <fgColor rgb="FFF7C9C9"/>
        <bgColor indexed="64"/>
      </patternFill>
    </fill>
    <fill>
      <patternFill patternType="solid">
        <fgColor rgb="FFF3ABAB"/>
        <bgColor indexed="64"/>
      </patternFill>
    </fill>
    <fill>
      <patternFill patternType="solid">
        <fgColor rgb="FF41B3A8"/>
        <bgColor indexed="64"/>
      </patternFill>
    </fill>
    <fill>
      <patternFill patternType="solid">
        <fgColor rgb="FFB0E2DD"/>
        <bgColor indexed="64"/>
      </patternFill>
    </fill>
    <fill>
      <patternFill patternType="solid">
        <fgColor rgb="FF87D3CC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rgb="FFF1F173"/>
        <bgColor indexed="64"/>
      </patternFill>
    </fill>
    <fill>
      <patternFill patternType="solid">
        <fgColor rgb="FF8085E4"/>
        <bgColor indexed="64"/>
      </patternFill>
    </fill>
    <fill>
      <patternFill patternType="solid">
        <fgColor rgb="FFCCCEF4"/>
        <bgColor indexed="64"/>
      </patternFill>
    </fill>
    <fill>
      <patternFill patternType="solid">
        <fgColor rgb="FFB0B3EE"/>
        <bgColor indexed="64"/>
      </patternFill>
    </fill>
    <fill>
      <patternFill patternType="solid">
        <fgColor rgb="FFE848DD"/>
        <bgColor indexed="64"/>
      </patternFill>
    </fill>
    <fill>
      <patternFill patternType="solid">
        <fgColor rgb="FFF5ADF0"/>
        <bgColor indexed="64"/>
      </patternFill>
    </fill>
    <fill>
      <patternFill patternType="solid">
        <fgColor rgb="FFF18FEA"/>
        <bgColor indexed="64"/>
      </patternFill>
    </fill>
    <fill>
      <patternFill patternType="solid">
        <fgColor rgb="FF2EBB17"/>
        <bgColor indexed="64"/>
      </patternFill>
    </fill>
    <fill>
      <patternFill patternType="solid">
        <fgColor rgb="FFA5F298"/>
        <bgColor indexed="64"/>
      </patternFill>
    </fill>
    <fill>
      <patternFill patternType="solid">
        <fgColor rgb="FF4BD444"/>
        <bgColor indexed="64"/>
      </patternFill>
    </fill>
    <fill>
      <patternFill patternType="solid">
        <fgColor rgb="FFE27F42"/>
        <bgColor indexed="64"/>
      </patternFill>
    </fill>
    <fill>
      <patternFill patternType="solid">
        <fgColor rgb="FFF1C2A5"/>
        <bgColor indexed="64"/>
      </patternFill>
    </fill>
    <fill>
      <patternFill patternType="solid">
        <fgColor rgb="FFE9A073"/>
        <bgColor indexed="64"/>
      </patternFill>
    </fill>
    <fill>
      <patternFill patternType="solid">
        <fgColor rgb="FFFF3B3B"/>
        <bgColor indexed="64"/>
      </patternFill>
    </fill>
    <fill>
      <patternFill patternType="solid">
        <fgColor rgb="FFFF8B8B"/>
        <bgColor indexed="64"/>
      </patternFill>
    </fill>
    <fill>
      <patternFill patternType="solid">
        <fgColor rgb="FFFF696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10" borderId="1" xfId="0" applyFill="1" applyBorder="1" applyAlignment="1">
      <alignment wrapText="1"/>
    </xf>
    <xf numFmtId="0" fontId="0" fillId="10" borderId="1" xfId="0" applyFill="1" applyBorder="1"/>
    <xf numFmtId="0" fontId="0" fillId="11" borderId="1" xfId="0" applyFill="1" applyBorder="1" applyAlignment="1">
      <alignment wrapText="1"/>
    </xf>
    <xf numFmtId="0" fontId="0" fillId="11" borderId="1" xfId="0" applyFill="1" applyBorder="1"/>
    <xf numFmtId="0" fontId="1" fillId="0" borderId="1" xfId="0" applyFont="1" applyBorder="1" applyAlignment="1">
      <alignment wrapText="1"/>
    </xf>
    <xf numFmtId="0" fontId="0" fillId="12" borderId="1" xfId="0" applyFill="1" applyBorder="1" applyAlignment="1">
      <alignment wrapText="1"/>
    </xf>
    <xf numFmtId="0" fontId="0" fillId="12" borderId="1" xfId="0" applyFill="1" applyBorder="1"/>
    <xf numFmtId="0" fontId="0" fillId="13" borderId="1" xfId="0" applyFill="1" applyBorder="1" applyAlignment="1">
      <alignment wrapText="1"/>
    </xf>
    <xf numFmtId="0" fontId="0" fillId="13" borderId="1" xfId="0" applyFill="1" applyBorder="1"/>
    <xf numFmtId="0" fontId="0" fillId="14" borderId="1" xfId="0" applyFill="1" applyBorder="1" applyAlignment="1">
      <alignment wrapText="1"/>
    </xf>
    <xf numFmtId="0" fontId="0" fillId="14" borderId="1" xfId="0" applyFill="1" applyBorder="1"/>
    <xf numFmtId="0" fontId="0" fillId="16" borderId="1" xfId="0" applyFill="1" applyBorder="1" applyAlignment="1">
      <alignment wrapText="1"/>
    </xf>
    <xf numFmtId="0" fontId="0" fillId="16" borderId="1" xfId="0" applyFill="1" applyBorder="1"/>
    <xf numFmtId="0" fontId="0" fillId="17" borderId="1" xfId="0" applyFill="1" applyBorder="1" applyAlignment="1">
      <alignment wrapText="1"/>
    </xf>
    <xf numFmtId="0" fontId="0" fillId="17" borderId="1" xfId="0" applyFill="1" applyBorder="1"/>
    <xf numFmtId="0" fontId="0" fillId="18" borderId="1" xfId="0" applyFill="1" applyBorder="1" applyAlignment="1">
      <alignment wrapText="1"/>
    </xf>
    <xf numFmtId="0" fontId="0" fillId="18" borderId="1" xfId="0" applyFill="1" applyBorder="1"/>
    <xf numFmtId="0" fontId="0" fillId="19" borderId="1" xfId="0" applyFill="1" applyBorder="1" applyAlignment="1">
      <alignment wrapText="1"/>
    </xf>
    <xf numFmtId="0" fontId="0" fillId="19" borderId="1" xfId="0" applyFill="1" applyBorder="1"/>
    <xf numFmtId="0" fontId="0" fillId="20" borderId="1" xfId="0" applyFill="1" applyBorder="1" applyAlignment="1">
      <alignment wrapText="1"/>
    </xf>
    <xf numFmtId="0" fontId="0" fillId="20" borderId="1" xfId="0" applyFill="1" applyBorder="1"/>
    <xf numFmtId="0" fontId="0" fillId="21" borderId="1" xfId="0" applyFill="1" applyBorder="1" applyAlignment="1">
      <alignment wrapText="1"/>
    </xf>
    <xf numFmtId="0" fontId="0" fillId="21" borderId="1" xfId="0" applyFill="1" applyBorder="1"/>
    <xf numFmtId="0" fontId="0" fillId="22" borderId="1" xfId="0" applyFill="1" applyBorder="1" applyAlignment="1">
      <alignment wrapText="1"/>
    </xf>
    <xf numFmtId="0" fontId="0" fillId="22" borderId="1" xfId="0" applyFill="1" applyBorder="1"/>
    <xf numFmtId="0" fontId="0" fillId="24" borderId="1" xfId="0" applyFill="1" applyBorder="1" applyAlignment="1">
      <alignment wrapText="1"/>
    </xf>
    <xf numFmtId="0" fontId="0" fillId="24" borderId="1" xfId="0" applyFill="1" applyBorder="1"/>
    <xf numFmtId="0" fontId="0" fillId="25" borderId="1" xfId="0" applyFill="1" applyBorder="1" applyAlignment="1">
      <alignment wrapText="1"/>
    </xf>
    <xf numFmtId="0" fontId="0" fillId="25" borderId="1" xfId="0" applyFill="1" applyBorder="1"/>
    <xf numFmtId="0" fontId="0" fillId="27" borderId="1" xfId="0" applyFill="1" applyBorder="1" applyAlignment="1">
      <alignment wrapText="1"/>
    </xf>
    <xf numFmtId="0" fontId="0" fillId="27" borderId="1" xfId="0" applyFill="1" applyBorder="1"/>
    <xf numFmtId="0" fontId="0" fillId="28" borderId="1" xfId="0" applyFill="1" applyBorder="1" applyAlignment="1">
      <alignment wrapText="1"/>
    </xf>
    <xf numFmtId="0" fontId="0" fillId="28" borderId="1" xfId="0" applyFill="1" applyBorder="1"/>
    <xf numFmtId="0" fontId="0" fillId="29" borderId="1" xfId="0" applyFill="1" applyBorder="1" applyAlignment="1">
      <alignment wrapText="1"/>
    </xf>
    <xf numFmtId="0" fontId="0" fillId="29" borderId="1" xfId="0" applyFill="1" applyBorder="1"/>
    <xf numFmtId="0" fontId="0" fillId="30" borderId="1" xfId="0" applyFill="1" applyBorder="1" applyAlignment="1">
      <alignment wrapText="1"/>
    </xf>
    <xf numFmtId="0" fontId="0" fillId="30" borderId="1" xfId="0" applyFill="1" applyBorder="1"/>
    <xf numFmtId="0" fontId="0" fillId="32" borderId="1" xfId="0" applyFill="1" applyBorder="1" applyAlignment="1">
      <alignment wrapText="1"/>
    </xf>
    <xf numFmtId="0" fontId="0" fillId="32" borderId="1" xfId="0" applyFill="1" applyBorder="1"/>
    <xf numFmtId="0" fontId="0" fillId="33" borderId="1" xfId="0" applyFill="1" applyBorder="1" applyAlignment="1">
      <alignment wrapText="1"/>
    </xf>
    <xf numFmtId="0" fontId="0" fillId="33" borderId="1" xfId="0" applyFill="1" applyBorder="1"/>
    <xf numFmtId="0" fontId="0" fillId="35" borderId="1" xfId="0" applyFill="1" applyBorder="1" applyAlignment="1">
      <alignment wrapText="1"/>
    </xf>
    <xf numFmtId="0" fontId="0" fillId="35" borderId="1" xfId="0" applyFill="1" applyBorder="1"/>
    <xf numFmtId="0" fontId="0" fillId="36" borderId="1" xfId="0" applyFill="1" applyBorder="1" applyAlignment="1">
      <alignment wrapText="1"/>
    </xf>
    <xf numFmtId="0" fontId="0" fillId="36" borderId="1" xfId="0" applyFill="1" applyBorder="1"/>
    <xf numFmtId="0" fontId="0" fillId="38" borderId="1" xfId="0" applyFill="1" applyBorder="1" applyAlignment="1">
      <alignment wrapText="1"/>
    </xf>
    <xf numFmtId="0" fontId="0" fillId="38" borderId="1" xfId="0" applyFill="1" applyBorder="1"/>
    <xf numFmtId="0" fontId="0" fillId="39" borderId="1" xfId="0" applyFill="1" applyBorder="1" applyAlignment="1">
      <alignment wrapText="1"/>
    </xf>
    <xf numFmtId="0" fontId="0" fillId="39" borderId="1" xfId="0" applyFill="1" applyBorder="1"/>
    <xf numFmtId="0" fontId="0" fillId="41" borderId="1" xfId="0" applyFill="1" applyBorder="1" applyAlignment="1">
      <alignment wrapText="1"/>
    </xf>
    <xf numFmtId="0" fontId="0" fillId="41" borderId="1" xfId="0" applyFill="1" applyBorder="1"/>
    <xf numFmtId="0" fontId="0" fillId="42" borderId="1" xfId="0" applyFill="1" applyBorder="1" applyAlignment="1">
      <alignment wrapText="1"/>
    </xf>
    <xf numFmtId="0" fontId="0" fillId="42" borderId="1" xfId="0" applyFill="1" applyBorder="1"/>
    <xf numFmtId="0" fontId="1" fillId="9" borderId="1" xfId="0" applyFont="1" applyFill="1" applyBorder="1" applyAlignment="1">
      <alignment horizontal="right"/>
    </xf>
    <xf numFmtId="0" fontId="0" fillId="9" borderId="1" xfId="0" applyFill="1" applyBorder="1"/>
    <xf numFmtId="0" fontId="1" fillId="2" borderId="1" xfId="0" applyFont="1" applyFill="1" applyBorder="1" applyAlignment="1">
      <alignment horizontal="right"/>
    </xf>
    <xf numFmtId="2" fontId="0" fillId="2" borderId="1" xfId="0" applyNumberFormat="1" applyFill="1" applyBorder="1"/>
    <xf numFmtId="0" fontId="0" fillId="44" borderId="1" xfId="0" applyFill="1" applyBorder="1" applyAlignment="1">
      <alignment wrapText="1"/>
    </xf>
    <xf numFmtId="0" fontId="0" fillId="44" borderId="1" xfId="0" applyFill="1" applyBorder="1"/>
    <xf numFmtId="0" fontId="0" fillId="45" borderId="1" xfId="0" applyFill="1" applyBorder="1" applyAlignment="1">
      <alignment wrapText="1"/>
    </xf>
    <xf numFmtId="0" fontId="0" fillId="45" borderId="1" xfId="0" applyFill="1" applyBorder="1"/>
    <xf numFmtId="0" fontId="1" fillId="9" borderId="2" xfId="0" applyFont="1" applyFill="1" applyBorder="1" applyAlignment="1">
      <alignment horizontal="right"/>
    </xf>
    <xf numFmtId="10" fontId="0" fillId="9" borderId="2" xfId="0" applyNumberFormat="1" applyFill="1" applyBorder="1"/>
    <xf numFmtId="0" fontId="0" fillId="44" borderId="3" xfId="0" applyFill="1" applyBorder="1" applyAlignment="1">
      <alignment wrapText="1"/>
    </xf>
    <xf numFmtId="0" fontId="0" fillId="44" borderId="3" xfId="0" applyFill="1" applyBorder="1"/>
    <xf numFmtId="0" fontId="0" fillId="44" borderId="4" xfId="0" applyFill="1" applyBorder="1"/>
    <xf numFmtId="0" fontId="0" fillId="45" borderId="6" xfId="0" applyFill="1" applyBorder="1"/>
    <xf numFmtId="0" fontId="0" fillId="44" borderId="6" xfId="0" applyFill="1" applyBorder="1"/>
    <xf numFmtId="0" fontId="0" fillId="10" borderId="6" xfId="0" applyFill="1" applyBorder="1"/>
    <xf numFmtId="0" fontId="0" fillId="11" borderId="6" xfId="0" applyFill="1" applyBorder="1"/>
    <xf numFmtId="0" fontId="0" fillId="12" borderId="6" xfId="0" applyFill="1" applyBorder="1"/>
    <xf numFmtId="0" fontId="0" fillId="13" borderId="6" xfId="0" applyFill="1" applyBorder="1"/>
    <xf numFmtId="0" fontId="0" fillId="22" borderId="6" xfId="0" applyFill="1" applyBorder="1"/>
    <xf numFmtId="0" fontId="0" fillId="16" borderId="6" xfId="0" applyFill="1" applyBorder="1"/>
    <xf numFmtId="0" fontId="0" fillId="17" borderId="6" xfId="0" applyFill="1" applyBorder="1"/>
    <xf numFmtId="0" fontId="0" fillId="18" borderId="6" xfId="0" applyFill="1" applyBorder="1"/>
    <xf numFmtId="0" fontId="0" fillId="19" borderId="6" xfId="0" applyFill="1" applyBorder="1"/>
    <xf numFmtId="0" fontId="0" fillId="20" borderId="6" xfId="0" applyFill="1" applyBorder="1"/>
    <xf numFmtId="0" fontId="0" fillId="21" borderId="6" xfId="0" applyFill="1" applyBorder="1"/>
    <xf numFmtId="0" fontId="0" fillId="14" borderId="6" xfId="0" applyFill="1" applyBorder="1"/>
    <xf numFmtId="0" fontId="0" fillId="29" borderId="6" xfId="0" applyFill="1" applyBorder="1"/>
    <xf numFmtId="0" fontId="0" fillId="30" borderId="6" xfId="0" applyFill="1" applyBorder="1"/>
    <xf numFmtId="0" fontId="0" fillId="24" borderId="6" xfId="0" applyFill="1" applyBorder="1"/>
    <xf numFmtId="0" fontId="0" fillId="25" borderId="6" xfId="0" applyFill="1" applyBorder="1"/>
    <xf numFmtId="0" fontId="0" fillId="27" borderId="6" xfId="0" applyFill="1" applyBorder="1"/>
    <xf numFmtId="0" fontId="0" fillId="28" borderId="6" xfId="0" applyFill="1" applyBorder="1"/>
    <xf numFmtId="0" fontId="0" fillId="32" borderId="6" xfId="0" applyFill="1" applyBorder="1"/>
    <xf numFmtId="0" fontId="0" fillId="33" borderId="6" xfId="0" applyFill="1" applyBorder="1"/>
    <xf numFmtId="0" fontId="0" fillId="35" borderId="6" xfId="0" applyFill="1" applyBorder="1"/>
    <xf numFmtId="0" fontId="0" fillId="36" borderId="6" xfId="0" applyFill="1" applyBorder="1"/>
    <xf numFmtId="0" fontId="0" fillId="38" borderId="6" xfId="0" applyFill="1" applyBorder="1"/>
    <xf numFmtId="0" fontId="0" fillId="39" borderId="6" xfId="0" applyFill="1" applyBorder="1"/>
    <xf numFmtId="0" fontId="0" fillId="41" borderId="6" xfId="0" applyFill="1" applyBorder="1"/>
    <xf numFmtId="0" fontId="0" fillId="42" borderId="6" xfId="0" applyFill="1" applyBorder="1"/>
    <xf numFmtId="0" fontId="0" fillId="41" borderId="8" xfId="0" applyFill="1" applyBorder="1" applyAlignment="1">
      <alignment wrapText="1"/>
    </xf>
    <xf numFmtId="0" fontId="0" fillId="41" borderId="8" xfId="0" applyFill="1" applyBorder="1"/>
    <xf numFmtId="0" fontId="0" fillId="41" borderId="9" xfId="0" applyFill="1" applyBorder="1"/>
    <xf numFmtId="0" fontId="1" fillId="3" borderId="5" xfId="0" applyFont="1" applyFill="1" applyBorder="1" applyAlignment="1">
      <alignment horizontal="center" vertical="center" textRotation="90"/>
    </xf>
    <xf numFmtId="0" fontId="1" fillId="4" borderId="5" xfId="0" applyFont="1" applyFill="1" applyBorder="1" applyAlignment="1">
      <alignment horizontal="center" vertical="center" textRotation="90"/>
    </xf>
    <xf numFmtId="0" fontId="1" fillId="15" borderId="5" xfId="0" applyFont="1" applyFill="1" applyBorder="1" applyAlignment="1">
      <alignment horizontal="center" vertical="center" textRotation="90"/>
    </xf>
    <xf numFmtId="0" fontId="1" fillId="5" borderId="5" xfId="0" applyFont="1" applyFill="1" applyBorder="1" applyAlignment="1">
      <alignment horizontal="center" vertical="center" textRotation="90"/>
    </xf>
    <xf numFmtId="0" fontId="1" fillId="43" borderId="10" xfId="0" applyFont="1" applyFill="1" applyBorder="1" applyAlignment="1">
      <alignment horizontal="center" vertical="center" textRotation="90"/>
    </xf>
    <xf numFmtId="0" fontId="1" fillId="43" borderId="11" xfId="0" applyFont="1" applyFill="1" applyBorder="1" applyAlignment="1">
      <alignment horizontal="center" vertical="center" textRotation="90"/>
    </xf>
    <xf numFmtId="0" fontId="1" fillId="43" borderId="12" xfId="0" applyFont="1" applyFill="1" applyBorder="1" applyAlignment="1">
      <alignment horizontal="center" vertical="center" textRotation="90"/>
    </xf>
    <xf numFmtId="0" fontId="1" fillId="34" borderId="5" xfId="0" applyFont="1" applyFill="1" applyBorder="1" applyAlignment="1">
      <alignment horizontal="center" vertical="center" textRotation="90"/>
    </xf>
    <xf numFmtId="0" fontId="1" fillId="37" borderId="5" xfId="0" applyFont="1" applyFill="1" applyBorder="1" applyAlignment="1">
      <alignment horizontal="center" vertical="center" textRotation="90"/>
    </xf>
    <xf numFmtId="0" fontId="1" fillId="40" borderId="5" xfId="0" applyFont="1" applyFill="1" applyBorder="1" applyAlignment="1">
      <alignment horizontal="center" vertical="center" textRotation="90"/>
    </xf>
    <xf numFmtId="0" fontId="1" fillId="40" borderId="7" xfId="0" applyFont="1" applyFill="1" applyBorder="1" applyAlignment="1">
      <alignment horizontal="center" vertical="center" textRotation="90"/>
    </xf>
    <xf numFmtId="0" fontId="1" fillId="6" borderId="5" xfId="0" applyFont="1" applyFill="1" applyBorder="1" applyAlignment="1">
      <alignment horizontal="center" vertical="center" textRotation="90"/>
    </xf>
    <xf numFmtId="0" fontId="1" fillId="7" borderId="5" xfId="0" applyFont="1" applyFill="1" applyBorder="1" applyAlignment="1">
      <alignment horizontal="center" vertical="center" textRotation="90"/>
    </xf>
    <xf numFmtId="0" fontId="0" fillId="7" borderId="5" xfId="0" applyFill="1" applyBorder="1" applyAlignment="1">
      <alignment horizontal="center" vertical="center" textRotation="90"/>
    </xf>
    <xf numFmtId="0" fontId="1" fillId="8" borderId="5" xfId="0" applyFont="1" applyFill="1" applyBorder="1" applyAlignment="1">
      <alignment horizontal="center" vertical="center" textRotation="90"/>
    </xf>
    <xf numFmtId="0" fontId="1" fillId="23" borderId="5" xfId="0" applyFont="1" applyFill="1" applyBorder="1" applyAlignment="1">
      <alignment horizontal="center" vertical="center" textRotation="90"/>
    </xf>
    <xf numFmtId="0" fontId="1" fillId="26" borderId="5" xfId="0" applyFont="1" applyFill="1" applyBorder="1" applyAlignment="1">
      <alignment horizontal="center" vertical="center" textRotation="90"/>
    </xf>
    <xf numFmtId="0" fontId="1" fillId="31" borderId="5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144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6969"/>
      <color rgb="FFFF8B8B"/>
      <color rgb="FFFF3B3B"/>
      <color rgb="FFE9A073"/>
      <color rgb="FFF1C2A5"/>
      <color rgb="FFE27F42"/>
      <color rgb="FF4BD444"/>
      <color rgb="FF2EBB17"/>
      <color rgb="FF79EC66"/>
      <color rgb="FFA5F2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89"/>
  <sheetViews>
    <sheetView workbookViewId="0">
      <selection activeCell="P26" sqref="P26"/>
    </sheetView>
  </sheetViews>
  <sheetFormatPr defaultRowHeight="15" x14ac:dyDescent="0.25"/>
  <cols>
    <col min="1" max="1" width="3.7109375" bestFit="1" customWidth="1"/>
    <col min="2" max="2" width="61.5703125" customWidth="1"/>
    <col min="3" max="3" width="9.28515625" bestFit="1" customWidth="1"/>
    <col min="4" max="4" width="15.42578125" bestFit="1" customWidth="1"/>
    <col min="5" max="5" width="9.28515625" bestFit="1" customWidth="1"/>
    <col min="6" max="6" width="9.140625" bestFit="1" customWidth="1"/>
    <col min="7" max="7" width="10.28515625" customWidth="1"/>
    <col min="8" max="8" width="10.85546875" bestFit="1" customWidth="1"/>
    <col min="9" max="9" width="9.28515625" customWidth="1"/>
    <col min="10" max="10" width="8.85546875" bestFit="1" customWidth="1"/>
    <col min="11" max="11" width="11.140625" bestFit="1" customWidth="1"/>
    <col min="12" max="12" width="7.42578125" bestFit="1" customWidth="1"/>
    <col min="13" max="13" width="9" bestFit="1" customWidth="1"/>
    <col min="14" max="14" width="11.7109375" bestFit="1" customWidth="1"/>
    <col min="15" max="18" width="9.5703125" bestFit="1" customWidth="1"/>
  </cols>
  <sheetData>
    <row r="1" spans="1:18" ht="48" customHeight="1" x14ac:dyDescent="0.25">
      <c r="C1" s="5" t="s">
        <v>197</v>
      </c>
      <c r="D1" s="5" t="s">
        <v>198</v>
      </c>
      <c r="E1" s="5" t="s">
        <v>199</v>
      </c>
      <c r="F1" s="5" t="s">
        <v>200</v>
      </c>
      <c r="G1" s="5" t="s">
        <v>201</v>
      </c>
      <c r="H1" s="5" t="s">
        <v>202</v>
      </c>
      <c r="I1" s="5" t="s">
        <v>203</v>
      </c>
      <c r="J1" s="5" t="s">
        <v>204</v>
      </c>
      <c r="K1" s="5" t="s">
        <v>205</v>
      </c>
      <c r="L1" s="5" t="s">
        <v>206</v>
      </c>
      <c r="M1" s="5" t="s">
        <v>207</v>
      </c>
      <c r="N1" s="5" t="s">
        <v>208</v>
      </c>
      <c r="O1" s="5" t="s">
        <v>207</v>
      </c>
      <c r="P1" s="5" t="s">
        <v>0</v>
      </c>
      <c r="Q1" s="5" t="s">
        <v>0</v>
      </c>
      <c r="R1" s="5" t="s">
        <v>0</v>
      </c>
    </row>
    <row r="2" spans="1:18" x14ac:dyDescent="0.25">
      <c r="B2" s="54" t="s">
        <v>194</v>
      </c>
      <c r="C2" s="55">
        <f t="shared" ref="C2:R2" si="0">COUNTIF(C5:C188, "&lt;&gt;")</f>
        <v>18</v>
      </c>
      <c r="D2" s="55">
        <f t="shared" si="0"/>
        <v>0</v>
      </c>
      <c r="E2" s="55">
        <f t="shared" si="0"/>
        <v>64</v>
      </c>
      <c r="F2" s="55">
        <f t="shared" si="0"/>
        <v>50</v>
      </c>
      <c r="G2" s="55">
        <f t="shared" si="0"/>
        <v>0</v>
      </c>
      <c r="H2" s="55">
        <f t="shared" si="0"/>
        <v>53</v>
      </c>
      <c r="I2" s="55">
        <f t="shared" si="0"/>
        <v>27</v>
      </c>
      <c r="J2" s="55">
        <f t="shared" si="0"/>
        <v>45</v>
      </c>
      <c r="K2" s="55">
        <f t="shared" si="0"/>
        <v>35</v>
      </c>
      <c r="L2" s="55">
        <f t="shared" si="0"/>
        <v>0</v>
      </c>
      <c r="M2" s="55">
        <f t="shared" si="0"/>
        <v>0</v>
      </c>
      <c r="N2" s="55">
        <f t="shared" si="0"/>
        <v>37</v>
      </c>
      <c r="O2" s="55">
        <f t="shared" si="0"/>
        <v>24</v>
      </c>
      <c r="P2" s="55">
        <f t="shared" si="0"/>
        <v>0</v>
      </c>
      <c r="Q2" s="55">
        <f t="shared" si="0"/>
        <v>0</v>
      </c>
      <c r="R2" s="55">
        <f t="shared" si="0"/>
        <v>0</v>
      </c>
    </row>
    <row r="3" spans="1:18" x14ac:dyDescent="0.25">
      <c r="B3" s="56" t="s">
        <v>195</v>
      </c>
      <c r="C3" s="57">
        <f t="shared" ref="C3:R3" si="1">IF(C2&lt;&gt;0,SUMIF(C5:C188, "&lt;&gt;")/C2,1)</f>
        <v>2.6666666666666665</v>
      </c>
      <c r="D3" s="57">
        <f t="shared" si="1"/>
        <v>1</v>
      </c>
      <c r="E3" s="57">
        <f t="shared" si="1"/>
        <v>10.5625</v>
      </c>
      <c r="F3" s="57">
        <f t="shared" si="1"/>
        <v>7.76</v>
      </c>
      <c r="G3" s="57">
        <f t="shared" si="1"/>
        <v>1</v>
      </c>
      <c r="H3" s="57">
        <f t="shared" si="1"/>
        <v>8.3962264150943398</v>
      </c>
      <c r="I3" s="57">
        <f t="shared" si="1"/>
        <v>7.8888888888888893</v>
      </c>
      <c r="J3" s="57">
        <f t="shared" si="1"/>
        <v>8.3333333333333339</v>
      </c>
      <c r="K3" s="57">
        <f t="shared" si="1"/>
        <v>8.4285714285714288</v>
      </c>
      <c r="L3" s="57">
        <f t="shared" si="1"/>
        <v>1</v>
      </c>
      <c r="M3" s="57">
        <f t="shared" si="1"/>
        <v>1</v>
      </c>
      <c r="N3" s="57">
        <f t="shared" si="1"/>
        <v>7.6216216216216219</v>
      </c>
      <c r="O3" s="57">
        <f t="shared" si="1"/>
        <v>2.5</v>
      </c>
      <c r="P3" s="57">
        <f t="shared" si="1"/>
        <v>1</v>
      </c>
      <c r="Q3" s="57">
        <f t="shared" si="1"/>
        <v>1</v>
      </c>
      <c r="R3" s="57">
        <f t="shared" si="1"/>
        <v>1</v>
      </c>
    </row>
    <row r="4" spans="1:18" ht="15.75" thickBot="1" x14ac:dyDescent="0.3">
      <c r="B4" s="62" t="s">
        <v>196</v>
      </c>
      <c r="C4" s="63">
        <f t="shared" ref="C4:R4" si="2">IF(C2&lt;&gt;0,COUNTIF(C5:C188,"&gt;=7")/C2,0)</f>
        <v>0.1111111111111111</v>
      </c>
      <c r="D4" s="63">
        <f t="shared" si="2"/>
        <v>0</v>
      </c>
      <c r="E4" s="63">
        <f t="shared" si="2"/>
        <v>0.953125</v>
      </c>
      <c r="F4" s="63">
        <f t="shared" si="2"/>
        <v>0.72</v>
      </c>
      <c r="G4" s="63">
        <f t="shared" si="2"/>
        <v>0</v>
      </c>
      <c r="H4" s="63">
        <f t="shared" si="2"/>
        <v>0.77358490566037741</v>
      </c>
      <c r="I4" s="63">
        <f t="shared" si="2"/>
        <v>0.66666666666666663</v>
      </c>
      <c r="J4" s="63">
        <f t="shared" si="2"/>
        <v>0.77777777777777779</v>
      </c>
      <c r="K4" s="63">
        <f t="shared" si="2"/>
        <v>0.77142857142857146</v>
      </c>
      <c r="L4" s="63">
        <f t="shared" si="2"/>
        <v>0</v>
      </c>
      <c r="M4" s="63">
        <f t="shared" si="2"/>
        <v>0</v>
      </c>
      <c r="N4" s="63">
        <f t="shared" si="2"/>
        <v>0.67567567567567566</v>
      </c>
      <c r="O4" s="63">
        <f t="shared" si="2"/>
        <v>4.1666666666666664E-2</v>
      </c>
      <c r="P4" s="63">
        <f t="shared" si="2"/>
        <v>0</v>
      </c>
      <c r="Q4" s="63">
        <f t="shared" si="2"/>
        <v>0</v>
      </c>
      <c r="R4" s="63">
        <f t="shared" si="2"/>
        <v>0</v>
      </c>
    </row>
    <row r="5" spans="1:18" ht="15.75" customHeight="1" thickTop="1" x14ac:dyDescent="0.25">
      <c r="A5" s="102" t="s">
        <v>1</v>
      </c>
      <c r="B5" s="64" t="s">
        <v>2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6"/>
    </row>
    <row r="6" spans="1:18" x14ac:dyDescent="0.25">
      <c r="A6" s="103"/>
      <c r="B6" s="60" t="s">
        <v>3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7"/>
    </row>
    <row r="7" spans="1:18" x14ac:dyDescent="0.25">
      <c r="A7" s="103"/>
      <c r="B7" s="58" t="s">
        <v>4</v>
      </c>
      <c r="C7" s="59"/>
      <c r="D7" s="59"/>
      <c r="E7" s="59"/>
      <c r="F7" s="59">
        <v>7</v>
      </c>
      <c r="G7" s="59"/>
      <c r="H7" s="59"/>
      <c r="I7" s="59">
        <v>12</v>
      </c>
      <c r="J7" s="59">
        <v>12</v>
      </c>
      <c r="K7" s="59"/>
      <c r="L7" s="59"/>
      <c r="M7" s="59"/>
      <c r="N7" s="59">
        <v>9</v>
      </c>
      <c r="O7" s="59">
        <v>3</v>
      </c>
      <c r="P7" s="59"/>
      <c r="Q7" s="59"/>
      <c r="R7" s="68"/>
    </row>
    <row r="8" spans="1:18" x14ac:dyDescent="0.25">
      <c r="A8" s="103"/>
      <c r="B8" s="60" t="s">
        <v>5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7"/>
    </row>
    <row r="9" spans="1:18" x14ac:dyDescent="0.25">
      <c r="A9" s="103"/>
      <c r="B9" s="58" t="s">
        <v>6</v>
      </c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68"/>
    </row>
    <row r="10" spans="1:18" x14ac:dyDescent="0.25">
      <c r="A10" s="103"/>
      <c r="B10" s="60" t="s">
        <v>35</v>
      </c>
      <c r="C10" s="61">
        <v>8</v>
      </c>
      <c r="D10" s="61"/>
      <c r="E10" s="61">
        <v>12</v>
      </c>
      <c r="F10" s="61">
        <v>6</v>
      </c>
      <c r="G10" s="61"/>
      <c r="H10" s="61">
        <v>10</v>
      </c>
      <c r="I10" s="61">
        <v>9</v>
      </c>
      <c r="J10" s="61">
        <v>12</v>
      </c>
      <c r="K10" s="61"/>
      <c r="L10" s="61"/>
      <c r="M10" s="61"/>
      <c r="N10" s="61">
        <v>9</v>
      </c>
      <c r="O10" s="61">
        <v>7</v>
      </c>
      <c r="P10" s="61"/>
      <c r="Q10" s="61"/>
      <c r="R10" s="67"/>
    </row>
    <row r="11" spans="1:18" x14ac:dyDescent="0.25">
      <c r="A11" s="103"/>
      <c r="B11" s="58" t="s">
        <v>209</v>
      </c>
      <c r="C11" s="59"/>
      <c r="D11" s="59"/>
      <c r="E11" s="59">
        <v>7</v>
      </c>
      <c r="F11" s="59"/>
      <c r="G11" s="59"/>
      <c r="H11" s="59">
        <v>9</v>
      </c>
      <c r="I11" s="59"/>
      <c r="J11" s="59">
        <v>9</v>
      </c>
      <c r="K11" s="59"/>
      <c r="L11" s="59"/>
      <c r="M11" s="59"/>
      <c r="N11" s="59"/>
      <c r="O11" s="59"/>
      <c r="P11" s="59"/>
      <c r="Q11" s="59"/>
      <c r="R11" s="68"/>
    </row>
    <row r="12" spans="1:18" x14ac:dyDescent="0.25">
      <c r="A12" s="103"/>
      <c r="B12" s="60" t="s">
        <v>210</v>
      </c>
      <c r="C12" s="61">
        <v>3</v>
      </c>
      <c r="D12" s="61"/>
      <c r="E12" s="61">
        <v>11</v>
      </c>
      <c r="F12" s="61">
        <v>11</v>
      </c>
      <c r="G12" s="61"/>
      <c r="H12" s="61">
        <v>12</v>
      </c>
      <c r="I12" s="61">
        <v>11</v>
      </c>
      <c r="J12" s="61"/>
      <c r="K12" s="61">
        <v>11</v>
      </c>
      <c r="L12" s="61"/>
      <c r="M12" s="61"/>
      <c r="N12" s="61">
        <v>8</v>
      </c>
      <c r="O12" s="61"/>
      <c r="P12" s="61"/>
      <c r="Q12" s="61"/>
      <c r="R12" s="67"/>
    </row>
    <row r="13" spans="1:18" x14ac:dyDescent="0.25">
      <c r="A13" s="103"/>
      <c r="B13" s="58" t="s">
        <v>211</v>
      </c>
      <c r="C13" s="59"/>
      <c r="D13" s="59"/>
      <c r="E13" s="59">
        <v>12</v>
      </c>
      <c r="F13" s="59">
        <v>12</v>
      </c>
      <c r="G13" s="59"/>
      <c r="H13" s="59"/>
      <c r="I13" s="59"/>
      <c r="J13" s="59">
        <v>9</v>
      </c>
      <c r="K13" s="59">
        <v>12</v>
      </c>
      <c r="L13" s="59"/>
      <c r="M13" s="59"/>
      <c r="N13" s="59"/>
      <c r="O13" s="59"/>
      <c r="P13" s="59"/>
      <c r="Q13" s="59"/>
      <c r="R13" s="68"/>
    </row>
    <row r="14" spans="1:18" x14ac:dyDescent="0.25">
      <c r="A14" s="104"/>
      <c r="B14" s="60" t="s">
        <v>212</v>
      </c>
      <c r="C14" s="61">
        <v>3</v>
      </c>
      <c r="D14" s="61"/>
      <c r="E14" s="61">
        <v>11</v>
      </c>
      <c r="F14" s="61">
        <v>12</v>
      </c>
      <c r="G14" s="61"/>
      <c r="H14" s="61">
        <v>12</v>
      </c>
      <c r="I14" s="61"/>
      <c r="J14" s="61"/>
      <c r="K14" s="61">
        <v>12</v>
      </c>
      <c r="L14" s="61"/>
      <c r="M14" s="61"/>
      <c r="N14" s="61"/>
      <c r="O14" s="61"/>
      <c r="P14" s="61"/>
      <c r="Q14" s="61"/>
      <c r="R14" s="67"/>
    </row>
    <row r="15" spans="1:18" ht="15" customHeight="1" x14ac:dyDescent="0.25">
      <c r="A15" s="98" t="s">
        <v>7</v>
      </c>
      <c r="B15" s="1" t="s">
        <v>8</v>
      </c>
      <c r="C15" s="2"/>
      <c r="D15" s="2"/>
      <c r="E15" s="2"/>
      <c r="F15" s="2"/>
      <c r="G15" s="2"/>
      <c r="H15" s="2"/>
      <c r="I15" s="2"/>
      <c r="J15" s="2">
        <v>9</v>
      </c>
      <c r="K15" s="2">
        <v>12</v>
      </c>
      <c r="L15" s="2"/>
      <c r="M15" s="2"/>
      <c r="N15" s="2"/>
      <c r="O15" s="2"/>
      <c r="P15" s="2"/>
      <c r="Q15" s="2"/>
      <c r="R15" s="69"/>
    </row>
    <row r="16" spans="1:18" x14ac:dyDescent="0.25">
      <c r="A16" s="98"/>
      <c r="B16" s="3" t="s">
        <v>9</v>
      </c>
      <c r="C16" s="4"/>
      <c r="D16" s="4"/>
      <c r="E16" s="4"/>
      <c r="F16" s="4"/>
      <c r="G16" s="4"/>
      <c r="H16" s="4"/>
      <c r="I16" s="4"/>
      <c r="J16" s="4">
        <v>7</v>
      </c>
      <c r="K16" s="4">
        <v>12</v>
      </c>
      <c r="L16" s="4"/>
      <c r="M16" s="4"/>
      <c r="N16" s="4">
        <v>3</v>
      </c>
      <c r="O16" s="4"/>
      <c r="P16" s="4"/>
      <c r="Q16" s="4"/>
      <c r="R16" s="70"/>
    </row>
    <row r="17" spans="1:18" x14ac:dyDescent="0.25">
      <c r="A17" s="98"/>
      <c r="B17" s="1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69"/>
    </row>
    <row r="18" spans="1:18" x14ac:dyDescent="0.25">
      <c r="A18" s="98"/>
      <c r="B18" s="3" t="s">
        <v>11</v>
      </c>
      <c r="C18" s="4"/>
      <c r="D18" s="4"/>
      <c r="E18" s="4"/>
      <c r="F18" s="4"/>
      <c r="G18" s="4"/>
      <c r="H18" s="4">
        <v>12</v>
      </c>
      <c r="I18" s="4"/>
      <c r="J18" s="4"/>
      <c r="K18" s="4"/>
      <c r="L18" s="4"/>
      <c r="M18" s="4"/>
      <c r="N18" s="4">
        <v>3</v>
      </c>
      <c r="O18" s="4">
        <v>2</v>
      </c>
      <c r="P18" s="4"/>
      <c r="Q18" s="4"/>
      <c r="R18" s="70"/>
    </row>
    <row r="19" spans="1:18" x14ac:dyDescent="0.25">
      <c r="A19" s="98"/>
      <c r="B19" s="1" t="s">
        <v>12</v>
      </c>
      <c r="C19" s="2"/>
      <c r="D19" s="2"/>
      <c r="E19" s="2">
        <v>12</v>
      </c>
      <c r="F19" s="2"/>
      <c r="G19" s="2"/>
      <c r="H19" s="2"/>
      <c r="I19" s="2"/>
      <c r="J19" s="2"/>
      <c r="K19" s="2">
        <v>12</v>
      </c>
      <c r="L19" s="2"/>
      <c r="M19" s="2"/>
      <c r="N19" s="2">
        <v>3</v>
      </c>
      <c r="O19" s="2">
        <v>2</v>
      </c>
      <c r="P19" s="2"/>
      <c r="Q19" s="2"/>
      <c r="R19" s="69"/>
    </row>
    <row r="20" spans="1:18" x14ac:dyDescent="0.25">
      <c r="A20" s="98"/>
      <c r="B20" s="3" t="s">
        <v>13</v>
      </c>
      <c r="C20" s="4">
        <v>3</v>
      </c>
      <c r="D20" s="4"/>
      <c r="E20" s="4">
        <v>12</v>
      </c>
      <c r="F20" s="4">
        <v>9</v>
      </c>
      <c r="G20" s="4"/>
      <c r="H20" s="4">
        <v>12</v>
      </c>
      <c r="I20" s="4"/>
      <c r="J20" s="4"/>
      <c r="K20" s="4"/>
      <c r="L20" s="4"/>
      <c r="M20" s="4"/>
      <c r="N20" s="4"/>
      <c r="O20" s="4"/>
      <c r="P20" s="4"/>
      <c r="Q20" s="4"/>
      <c r="R20" s="70"/>
    </row>
    <row r="21" spans="1:18" x14ac:dyDescent="0.25">
      <c r="A21" s="98"/>
      <c r="B21" s="1" t="s">
        <v>14</v>
      </c>
      <c r="C21" s="2"/>
      <c r="D21" s="2"/>
      <c r="E21" s="2">
        <v>12</v>
      </c>
      <c r="F21" s="2"/>
      <c r="G21" s="2"/>
      <c r="H21" s="2"/>
      <c r="I21" s="2"/>
      <c r="J21" s="2"/>
      <c r="K21" s="2">
        <v>12</v>
      </c>
      <c r="L21" s="2"/>
      <c r="M21" s="2"/>
      <c r="N21" s="2"/>
      <c r="O21" s="2"/>
      <c r="P21" s="2"/>
      <c r="Q21" s="2"/>
      <c r="R21" s="69"/>
    </row>
    <row r="22" spans="1:18" x14ac:dyDescent="0.25">
      <c r="A22" s="98"/>
      <c r="B22" s="3" t="s">
        <v>15</v>
      </c>
      <c r="C22" s="4">
        <v>2</v>
      </c>
      <c r="D22" s="4"/>
      <c r="E22" s="4">
        <v>12</v>
      </c>
      <c r="F22" s="4">
        <v>12</v>
      </c>
      <c r="G22" s="4"/>
      <c r="H22" s="4">
        <v>12</v>
      </c>
      <c r="I22" s="4"/>
      <c r="J22" s="4">
        <v>9</v>
      </c>
      <c r="K22" s="4"/>
      <c r="L22" s="4"/>
      <c r="M22" s="4"/>
      <c r="N22" s="4"/>
      <c r="O22" s="4"/>
      <c r="P22" s="4"/>
      <c r="Q22" s="4"/>
      <c r="R22" s="70"/>
    </row>
    <row r="23" spans="1:18" x14ac:dyDescent="0.25">
      <c r="A23" s="98"/>
      <c r="B23" s="1" t="s">
        <v>16</v>
      </c>
      <c r="C23" s="2"/>
      <c r="D23" s="2"/>
      <c r="E23" s="2"/>
      <c r="F23" s="2">
        <v>12</v>
      </c>
      <c r="G23" s="2"/>
      <c r="H23" s="2">
        <v>12</v>
      </c>
      <c r="I23" s="2"/>
      <c r="J23" s="2"/>
      <c r="K23" s="2"/>
      <c r="L23" s="2"/>
      <c r="M23" s="2"/>
      <c r="N23" s="2"/>
      <c r="O23" s="2"/>
      <c r="P23" s="2"/>
      <c r="Q23" s="2"/>
      <c r="R23" s="69"/>
    </row>
    <row r="24" spans="1:18" x14ac:dyDescent="0.25">
      <c r="A24" s="98"/>
      <c r="B24" s="3" t="s">
        <v>17</v>
      </c>
      <c r="C24" s="4"/>
      <c r="D24" s="4"/>
      <c r="E24" s="4">
        <v>12</v>
      </c>
      <c r="F24" s="4">
        <v>12</v>
      </c>
      <c r="G24" s="4"/>
      <c r="H24" s="4">
        <v>12</v>
      </c>
      <c r="I24" s="4"/>
      <c r="J24" s="4"/>
      <c r="K24" s="4"/>
      <c r="L24" s="4"/>
      <c r="M24" s="4"/>
      <c r="N24" s="4"/>
      <c r="O24" s="4"/>
      <c r="P24" s="4"/>
      <c r="Q24" s="4"/>
      <c r="R24" s="70"/>
    </row>
    <row r="25" spans="1:18" x14ac:dyDescent="0.25">
      <c r="A25" s="98"/>
      <c r="B25" s="1" t="s">
        <v>18</v>
      </c>
      <c r="C25" s="2"/>
      <c r="D25" s="2"/>
      <c r="E25" s="2"/>
      <c r="F25" s="2">
        <v>12</v>
      </c>
      <c r="G25" s="2"/>
      <c r="H25" s="2">
        <v>12</v>
      </c>
      <c r="I25" s="2"/>
      <c r="J25" s="2">
        <v>12</v>
      </c>
      <c r="K25" s="2"/>
      <c r="L25" s="2"/>
      <c r="M25" s="2"/>
      <c r="N25" s="2"/>
      <c r="O25" s="2"/>
      <c r="P25" s="2"/>
      <c r="Q25" s="2"/>
      <c r="R25" s="69"/>
    </row>
    <row r="26" spans="1:18" x14ac:dyDescent="0.25">
      <c r="A26" s="98"/>
      <c r="B26" s="3" t="s">
        <v>19</v>
      </c>
      <c r="C26" s="4"/>
      <c r="D26" s="4"/>
      <c r="E26" s="4">
        <v>12</v>
      </c>
      <c r="F26" s="4"/>
      <c r="G26" s="4"/>
      <c r="H26" s="4"/>
      <c r="I26" s="4"/>
      <c r="J26" s="4"/>
      <c r="K26" s="4">
        <v>12</v>
      </c>
      <c r="L26" s="4"/>
      <c r="M26" s="4"/>
      <c r="N26" s="4"/>
      <c r="O26" s="4"/>
      <c r="P26" s="4"/>
      <c r="Q26" s="4"/>
      <c r="R26" s="70"/>
    </row>
    <row r="27" spans="1:18" x14ac:dyDescent="0.25">
      <c r="A27" s="99" t="s">
        <v>182</v>
      </c>
      <c r="B27" s="6" t="s">
        <v>20</v>
      </c>
      <c r="C27" s="7">
        <v>2</v>
      </c>
      <c r="D27" s="7"/>
      <c r="E27" s="7">
        <v>12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1"/>
    </row>
    <row r="28" spans="1:18" x14ac:dyDescent="0.25">
      <c r="A28" s="99"/>
      <c r="B28" s="8" t="s">
        <v>21</v>
      </c>
      <c r="C28" s="9"/>
      <c r="D28" s="9"/>
      <c r="E28" s="9">
        <v>12</v>
      </c>
      <c r="F28" s="9"/>
      <c r="G28" s="9"/>
      <c r="H28" s="9"/>
      <c r="I28" s="9"/>
      <c r="J28" s="9"/>
      <c r="K28" s="9"/>
      <c r="L28" s="9"/>
      <c r="M28" s="9"/>
      <c r="N28" s="9"/>
      <c r="O28" s="9">
        <v>2</v>
      </c>
      <c r="P28" s="9"/>
      <c r="Q28" s="9"/>
      <c r="R28" s="72"/>
    </row>
    <row r="29" spans="1:18" x14ac:dyDescent="0.25">
      <c r="A29" s="99"/>
      <c r="B29" s="6" t="s">
        <v>22</v>
      </c>
      <c r="C29" s="7"/>
      <c r="D29" s="7"/>
      <c r="E29" s="7">
        <v>12</v>
      </c>
      <c r="F29" s="7">
        <v>12</v>
      </c>
      <c r="G29" s="7"/>
      <c r="H29" s="7"/>
      <c r="I29" s="7"/>
      <c r="J29" s="7"/>
      <c r="K29" s="7">
        <v>12</v>
      </c>
      <c r="L29" s="7"/>
      <c r="M29" s="7"/>
      <c r="N29" s="7"/>
      <c r="O29" s="7">
        <v>2</v>
      </c>
      <c r="P29" s="7"/>
      <c r="Q29" s="7"/>
      <c r="R29" s="71"/>
    </row>
    <row r="30" spans="1:18" x14ac:dyDescent="0.25">
      <c r="A30" s="99"/>
      <c r="B30" s="8" t="s">
        <v>23</v>
      </c>
      <c r="C30" s="9"/>
      <c r="D30" s="9"/>
      <c r="E30" s="9">
        <v>12</v>
      </c>
      <c r="F30" s="9"/>
      <c r="G30" s="9"/>
      <c r="H30" s="9">
        <v>12</v>
      </c>
      <c r="I30" s="9"/>
      <c r="J30" s="9">
        <v>12</v>
      </c>
      <c r="K30" s="9">
        <v>12</v>
      </c>
      <c r="L30" s="9"/>
      <c r="M30" s="9"/>
      <c r="N30" s="9"/>
      <c r="O30" s="9">
        <v>5</v>
      </c>
      <c r="P30" s="9"/>
      <c r="Q30" s="9"/>
      <c r="R30" s="72"/>
    </row>
    <row r="31" spans="1:18" x14ac:dyDescent="0.25">
      <c r="A31" s="99"/>
      <c r="B31" s="6" t="s">
        <v>24</v>
      </c>
      <c r="C31" s="7"/>
      <c r="D31" s="7"/>
      <c r="E31" s="7">
        <v>12</v>
      </c>
      <c r="F31" s="7"/>
      <c r="G31" s="7"/>
      <c r="H31" s="7">
        <v>11</v>
      </c>
      <c r="I31" s="7"/>
      <c r="J31" s="7">
        <v>7</v>
      </c>
      <c r="K31" s="7">
        <v>12</v>
      </c>
      <c r="L31" s="7"/>
      <c r="M31" s="7"/>
      <c r="N31" s="7">
        <v>7</v>
      </c>
      <c r="O31" s="7"/>
      <c r="P31" s="7"/>
      <c r="Q31" s="7"/>
      <c r="R31" s="71"/>
    </row>
    <row r="32" spans="1:18" x14ac:dyDescent="0.25">
      <c r="A32" s="100" t="s">
        <v>183</v>
      </c>
      <c r="B32" s="24" t="s">
        <v>25</v>
      </c>
      <c r="C32" s="25">
        <v>2</v>
      </c>
      <c r="D32" s="25"/>
      <c r="E32" s="25">
        <v>12</v>
      </c>
      <c r="F32" s="25">
        <v>12</v>
      </c>
      <c r="G32" s="25"/>
      <c r="H32" s="25">
        <v>9</v>
      </c>
      <c r="I32" s="25"/>
      <c r="J32" s="25">
        <v>9</v>
      </c>
      <c r="K32" s="25"/>
      <c r="L32" s="25"/>
      <c r="M32" s="25"/>
      <c r="N32" s="25">
        <v>12</v>
      </c>
      <c r="O32" s="25">
        <v>2</v>
      </c>
      <c r="P32" s="25"/>
      <c r="Q32" s="25"/>
      <c r="R32" s="73"/>
    </row>
    <row r="33" spans="1:18" x14ac:dyDescent="0.25">
      <c r="A33" s="100"/>
      <c r="B33" s="12" t="s">
        <v>26</v>
      </c>
      <c r="C33" s="13"/>
      <c r="D33" s="13"/>
      <c r="E33" s="13">
        <v>12</v>
      </c>
      <c r="F33" s="13"/>
      <c r="G33" s="13"/>
      <c r="H33" s="13">
        <v>12</v>
      </c>
      <c r="I33" s="13"/>
      <c r="J33" s="13"/>
      <c r="K33" s="13"/>
      <c r="L33" s="13"/>
      <c r="M33" s="13"/>
      <c r="N33" s="13">
        <v>7</v>
      </c>
      <c r="O33" s="13"/>
      <c r="P33" s="13"/>
      <c r="Q33" s="13"/>
      <c r="R33" s="74"/>
    </row>
    <row r="34" spans="1:18" x14ac:dyDescent="0.25">
      <c r="A34" s="100"/>
      <c r="B34" s="24" t="s">
        <v>27</v>
      </c>
      <c r="C34" s="25"/>
      <c r="D34" s="25"/>
      <c r="E34" s="25"/>
      <c r="F34" s="25"/>
      <c r="G34" s="25"/>
      <c r="H34" s="25"/>
      <c r="I34" s="25"/>
      <c r="J34" s="25">
        <v>7</v>
      </c>
      <c r="K34" s="25"/>
      <c r="L34" s="25"/>
      <c r="M34" s="25"/>
      <c r="N34" s="25">
        <v>9</v>
      </c>
      <c r="O34" s="25"/>
      <c r="P34" s="25"/>
      <c r="Q34" s="25"/>
      <c r="R34" s="73"/>
    </row>
    <row r="35" spans="1:18" x14ac:dyDescent="0.25">
      <c r="A35" s="100"/>
      <c r="B35" s="12" t="s">
        <v>28</v>
      </c>
      <c r="C35" s="13"/>
      <c r="D35" s="13"/>
      <c r="E35" s="13">
        <v>12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74"/>
    </row>
    <row r="36" spans="1:18" x14ac:dyDescent="0.25">
      <c r="A36" s="100"/>
      <c r="B36" s="24" t="s">
        <v>29</v>
      </c>
      <c r="C36" s="25"/>
      <c r="D36" s="25"/>
      <c r="E36" s="25">
        <v>12</v>
      </c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73"/>
    </row>
    <row r="37" spans="1:18" x14ac:dyDescent="0.25">
      <c r="A37" s="100"/>
      <c r="B37" s="12" t="s">
        <v>30</v>
      </c>
      <c r="C37" s="13"/>
      <c r="D37" s="13"/>
      <c r="E37" s="13"/>
      <c r="F37" s="13">
        <v>11</v>
      </c>
      <c r="G37" s="13"/>
      <c r="H37" s="13"/>
      <c r="I37" s="13"/>
      <c r="J37" s="13"/>
      <c r="K37" s="13"/>
      <c r="L37" s="13"/>
      <c r="M37" s="13"/>
      <c r="N37" s="13">
        <v>12</v>
      </c>
      <c r="O37" s="13"/>
      <c r="P37" s="13"/>
      <c r="Q37" s="13"/>
      <c r="R37" s="74"/>
    </row>
    <row r="38" spans="1:18" x14ac:dyDescent="0.25">
      <c r="A38" s="100"/>
      <c r="B38" s="24" t="s">
        <v>31</v>
      </c>
      <c r="C38" s="25"/>
      <c r="D38" s="25"/>
      <c r="E38" s="25"/>
      <c r="F38" s="25"/>
      <c r="G38" s="25"/>
      <c r="H38" s="25">
        <v>1</v>
      </c>
      <c r="I38" s="25"/>
      <c r="J38" s="25">
        <v>12</v>
      </c>
      <c r="K38" s="25"/>
      <c r="L38" s="25"/>
      <c r="M38" s="25"/>
      <c r="N38" s="25"/>
      <c r="O38" s="25"/>
      <c r="P38" s="25"/>
      <c r="Q38" s="25"/>
      <c r="R38" s="73"/>
    </row>
    <row r="39" spans="1:18" x14ac:dyDescent="0.25">
      <c r="A39" s="100"/>
      <c r="B39" s="12" t="s">
        <v>32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>
        <v>7</v>
      </c>
      <c r="O39" s="13"/>
      <c r="P39" s="13"/>
      <c r="Q39" s="13"/>
      <c r="R39" s="74"/>
    </row>
    <row r="40" spans="1:18" x14ac:dyDescent="0.25">
      <c r="A40" s="100"/>
      <c r="B40" s="24" t="s">
        <v>33</v>
      </c>
      <c r="C40" s="25"/>
      <c r="D40" s="25"/>
      <c r="E40" s="25">
        <v>12</v>
      </c>
      <c r="F40" s="25">
        <v>12</v>
      </c>
      <c r="G40" s="25"/>
      <c r="H40" s="25">
        <v>1</v>
      </c>
      <c r="I40" s="25"/>
      <c r="J40" s="25">
        <v>12</v>
      </c>
      <c r="K40" s="25"/>
      <c r="L40" s="25"/>
      <c r="M40" s="25"/>
      <c r="N40" s="25">
        <v>12</v>
      </c>
      <c r="O40" s="25"/>
      <c r="P40" s="25"/>
      <c r="Q40" s="25"/>
      <c r="R40" s="73"/>
    </row>
    <row r="41" spans="1:18" x14ac:dyDescent="0.25">
      <c r="A41" s="100"/>
      <c r="B41" s="12" t="s">
        <v>34</v>
      </c>
      <c r="C41" s="13"/>
      <c r="D41" s="13"/>
      <c r="E41" s="13"/>
      <c r="F41" s="13"/>
      <c r="G41" s="13"/>
      <c r="H41" s="13">
        <v>12</v>
      </c>
      <c r="I41" s="13"/>
      <c r="J41" s="13">
        <v>7</v>
      </c>
      <c r="K41" s="13"/>
      <c r="L41" s="13"/>
      <c r="M41" s="13"/>
      <c r="N41" s="13"/>
      <c r="O41" s="13"/>
      <c r="P41" s="13"/>
      <c r="Q41" s="13"/>
      <c r="R41" s="74"/>
    </row>
    <row r="42" spans="1:18" x14ac:dyDescent="0.25">
      <c r="A42" s="101" t="s">
        <v>184</v>
      </c>
      <c r="B42" s="14" t="s">
        <v>36</v>
      </c>
      <c r="C42" s="15">
        <v>3</v>
      </c>
      <c r="D42" s="15"/>
      <c r="E42" s="15">
        <v>12</v>
      </c>
      <c r="F42" s="15">
        <v>11</v>
      </c>
      <c r="G42" s="15"/>
      <c r="H42" s="15"/>
      <c r="I42" s="15">
        <v>12</v>
      </c>
      <c r="J42" s="15">
        <v>8</v>
      </c>
      <c r="K42" s="15"/>
      <c r="L42" s="15"/>
      <c r="M42" s="15"/>
      <c r="N42" s="15"/>
      <c r="O42" s="15"/>
      <c r="P42" s="15"/>
      <c r="Q42" s="15"/>
      <c r="R42" s="75"/>
    </row>
    <row r="43" spans="1:18" x14ac:dyDescent="0.25">
      <c r="A43" s="101"/>
      <c r="B43" s="16" t="s">
        <v>37</v>
      </c>
      <c r="C43" s="17"/>
      <c r="D43" s="17"/>
      <c r="E43" s="17"/>
      <c r="F43" s="17">
        <v>11</v>
      </c>
      <c r="G43" s="17"/>
      <c r="H43" s="17">
        <v>9</v>
      </c>
      <c r="I43" s="17">
        <v>9</v>
      </c>
      <c r="J43" s="17"/>
      <c r="K43" s="17"/>
      <c r="L43" s="17"/>
      <c r="M43" s="17"/>
      <c r="N43" s="17"/>
      <c r="O43" s="17"/>
      <c r="P43" s="17"/>
      <c r="Q43" s="17"/>
      <c r="R43" s="76"/>
    </row>
    <row r="44" spans="1:18" x14ac:dyDescent="0.25">
      <c r="A44" s="101"/>
      <c r="B44" s="14" t="s">
        <v>38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75"/>
    </row>
    <row r="45" spans="1:18" ht="30" x14ac:dyDescent="0.25">
      <c r="A45" s="101"/>
      <c r="B45" s="16" t="s">
        <v>39</v>
      </c>
      <c r="C45" s="17"/>
      <c r="D45" s="17"/>
      <c r="E45" s="17">
        <v>12</v>
      </c>
      <c r="F45" s="17">
        <v>10</v>
      </c>
      <c r="G45" s="17"/>
      <c r="H45" s="17"/>
      <c r="I45" s="17"/>
      <c r="J45" s="17">
        <v>9</v>
      </c>
      <c r="K45" s="17">
        <v>12</v>
      </c>
      <c r="L45" s="17"/>
      <c r="M45" s="17"/>
      <c r="N45" s="17">
        <v>9</v>
      </c>
      <c r="O45" s="17"/>
      <c r="P45" s="17"/>
      <c r="Q45" s="17"/>
      <c r="R45" s="76"/>
    </row>
    <row r="46" spans="1:18" ht="30" x14ac:dyDescent="0.25">
      <c r="A46" s="101"/>
      <c r="B46" s="14" t="s">
        <v>40</v>
      </c>
      <c r="C46" s="15"/>
      <c r="D46" s="15"/>
      <c r="E46" s="15">
        <v>12</v>
      </c>
      <c r="F46" s="15">
        <v>11</v>
      </c>
      <c r="G46" s="15"/>
      <c r="H46" s="15">
        <v>9</v>
      </c>
      <c r="I46" s="15"/>
      <c r="J46" s="15"/>
      <c r="K46" s="15"/>
      <c r="L46" s="15"/>
      <c r="M46" s="15"/>
      <c r="N46" s="15"/>
      <c r="O46" s="15"/>
      <c r="P46" s="15"/>
      <c r="Q46" s="15"/>
      <c r="R46" s="75"/>
    </row>
    <row r="47" spans="1:18" x14ac:dyDescent="0.25">
      <c r="A47" s="101"/>
      <c r="B47" s="16" t="s">
        <v>213</v>
      </c>
      <c r="C47" s="17"/>
      <c r="D47" s="17"/>
      <c r="E47" s="17">
        <v>12</v>
      </c>
      <c r="F47" s="17"/>
      <c r="G47" s="17"/>
      <c r="H47" s="17">
        <v>7</v>
      </c>
      <c r="I47" s="17"/>
      <c r="J47" s="17"/>
      <c r="K47" s="17"/>
      <c r="L47" s="17"/>
      <c r="M47" s="17"/>
      <c r="N47" s="17">
        <v>9</v>
      </c>
      <c r="O47" s="17"/>
      <c r="P47" s="17"/>
      <c r="Q47" s="17"/>
      <c r="R47" s="76"/>
    </row>
    <row r="48" spans="1:18" x14ac:dyDescent="0.25">
      <c r="A48" s="101"/>
      <c r="B48" s="14" t="s">
        <v>41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75"/>
    </row>
    <row r="49" spans="1:18" ht="30" x14ac:dyDescent="0.25">
      <c r="A49" s="101"/>
      <c r="B49" s="16" t="s">
        <v>42</v>
      </c>
      <c r="C49" s="17"/>
      <c r="D49" s="17"/>
      <c r="E49" s="17"/>
      <c r="F49" s="17"/>
      <c r="G49" s="17"/>
      <c r="H49" s="17"/>
      <c r="I49" s="17"/>
      <c r="J49" s="17">
        <v>12</v>
      </c>
      <c r="K49" s="17"/>
      <c r="L49" s="17"/>
      <c r="M49" s="17"/>
      <c r="N49" s="17"/>
      <c r="O49" s="17"/>
      <c r="P49" s="17"/>
      <c r="Q49" s="17"/>
      <c r="R49" s="76"/>
    </row>
    <row r="50" spans="1:18" x14ac:dyDescent="0.25">
      <c r="A50" s="101"/>
      <c r="B50" s="14" t="s">
        <v>43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75"/>
    </row>
    <row r="51" spans="1:18" ht="30" x14ac:dyDescent="0.25">
      <c r="A51" s="101"/>
      <c r="B51" s="16" t="s">
        <v>44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76"/>
    </row>
    <row r="52" spans="1:18" x14ac:dyDescent="0.25">
      <c r="A52" s="101"/>
      <c r="B52" s="14" t="s">
        <v>45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75"/>
    </row>
    <row r="53" spans="1:18" x14ac:dyDescent="0.25">
      <c r="A53" s="101"/>
      <c r="B53" s="16" t="s">
        <v>46</v>
      </c>
      <c r="C53" s="17"/>
      <c r="D53" s="17"/>
      <c r="E53" s="17">
        <v>12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76"/>
    </row>
    <row r="54" spans="1:18" x14ac:dyDescent="0.25">
      <c r="A54" s="109" t="s">
        <v>185</v>
      </c>
      <c r="B54" s="18" t="s">
        <v>47</v>
      </c>
      <c r="C54" s="19"/>
      <c r="D54" s="19"/>
      <c r="E54" s="19">
        <v>11</v>
      </c>
      <c r="F54" s="19">
        <v>9</v>
      </c>
      <c r="G54" s="19"/>
      <c r="H54" s="19">
        <v>12</v>
      </c>
      <c r="I54" s="19"/>
      <c r="J54" s="19"/>
      <c r="K54" s="19">
        <v>7</v>
      </c>
      <c r="L54" s="19"/>
      <c r="M54" s="19"/>
      <c r="N54" s="19">
        <v>12</v>
      </c>
      <c r="O54" s="19">
        <v>5</v>
      </c>
      <c r="P54" s="19"/>
      <c r="Q54" s="19"/>
      <c r="R54" s="77"/>
    </row>
    <row r="55" spans="1:18" x14ac:dyDescent="0.25">
      <c r="A55" s="109"/>
      <c r="B55" s="20" t="s">
        <v>48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>
        <v>9</v>
      </c>
      <c r="O55" s="21"/>
      <c r="P55" s="21"/>
      <c r="Q55" s="21"/>
      <c r="R55" s="78"/>
    </row>
    <row r="56" spans="1:18" x14ac:dyDescent="0.25">
      <c r="A56" s="109"/>
      <c r="B56" s="18" t="s">
        <v>49</v>
      </c>
      <c r="C56" s="19">
        <v>2</v>
      </c>
      <c r="D56" s="19"/>
      <c r="E56" s="19">
        <v>12</v>
      </c>
      <c r="F56" s="19">
        <v>12</v>
      </c>
      <c r="G56" s="19"/>
      <c r="H56" s="19">
        <v>12</v>
      </c>
      <c r="I56" s="19"/>
      <c r="J56" s="19"/>
      <c r="K56" s="19"/>
      <c r="L56" s="19"/>
      <c r="M56" s="19"/>
      <c r="N56" s="19"/>
      <c r="O56" s="19"/>
      <c r="P56" s="19"/>
      <c r="Q56" s="19"/>
      <c r="R56" s="77"/>
    </row>
    <row r="57" spans="1:18" ht="30" x14ac:dyDescent="0.25">
      <c r="A57" s="109"/>
      <c r="B57" s="20" t="s">
        <v>50</v>
      </c>
      <c r="C57" s="21"/>
      <c r="D57" s="21"/>
      <c r="E57" s="21">
        <v>11</v>
      </c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78"/>
    </row>
    <row r="58" spans="1:18" ht="30" x14ac:dyDescent="0.25">
      <c r="A58" s="109"/>
      <c r="B58" s="18" t="s">
        <v>51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>
        <v>11</v>
      </c>
      <c r="O58" s="19"/>
      <c r="P58" s="19"/>
      <c r="Q58" s="19"/>
      <c r="R58" s="77"/>
    </row>
    <row r="59" spans="1:18" x14ac:dyDescent="0.25">
      <c r="A59" s="109"/>
      <c r="B59" s="20" t="s">
        <v>52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78"/>
    </row>
    <row r="60" spans="1:18" x14ac:dyDescent="0.25">
      <c r="A60" s="109"/>
      <c r="B60" s="18" t="s">
        <v>53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77"/>
    </row>
    <row r="61" spans="1:18" x14ac:dyDescent="0.25">
      <c r="A61" s="109"/>
      <c r="B61" s="20" t="s">
        <v>54</v>
      </c>
      <c r="C61" s="21">
        <v>1</v>
      </c>
      <c r="D61" s="21"/>
      <c r="E61" s="21">
        <v>12</v>
      </c>
      <c r="F61" s="21">
        <v>9</v>
      </c>
      <c r="G61" s="21"/>
      <c r="H61" s="21">
        <v>3</v>
      </c>
      <c r="I61" s="21">
        <v>9</v>
      </c>
      <c r="J61" s="21"/>
      <c r="K61" s="21">
        <v>9</v>
      </c>
      <c r="L61" s="21"/>
      <c r="M61" s="21"/>
      <c r="N61" s="21">
        <v>12</v>
      </c>
      <c r="O61" s="21"/>
      <c r="P61" s="21"/>
      <c r="Q61" s="21"/>
      <c r="R61" s="78"/>
    </row>
    <row r="62" spans="1:18" x14ac:dyDescent="0.25">
      <c r="A62" s="109"/>
      <c r="B62" s="18" t="s">
        <v>55</v>
      </c>
      <c r="C62" s="19"/>
      <c r="D62" s="19"/>
      <c r="E62" s="19">
        <v>9</v>
      </c>
      <c r="F62" s="19">
        <v>3</v>
      </c>
      <c r="G62" s="19"/>
      <c r="H62" s="19">
        <v>3</v>
      </c>
      <c r="I62" s="19">
        <v>3</v>
      </c>
      <c r="J62" s="19"/>
      <c r="K62" s="19">
        <v>7</v>
      </c>
      <c r="L62" s="19"/>
      <c r="M62" s="19"/>
      <c r="N62" s="19"/>
      <c r="O62" s="19"/>
      <c r="P62" s="19"/>
      <c r="Q62" s="19"/>
      <c r="R62" s="77"/>
    </row>
    <row r="63" spans="1:18" x14ac:dyDescent="0.25">
      <c r="A63" s="109"/>
      <c r="B63" s="20" t="s">
        <v>56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78"/>
    </row>
    <row r="64" spans="1:18" x14ac:dyDescent="0.25">
      <c r="A64" s="109"/>
      <c r="B64" s="18" t="s">
        <v>57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77"/>
    </row>
    <row r="65" spans="1:18" x14ac:dyDescent="0.25">
      <c r="A65" s="109"/>
      <c r="B65" s="20" t="s">
        <v>58</v>
      </c>
      <c r="C65" s="21"/>
      <c r="D65" s="21"/>
      <c r="E65" s="21"/>
      <c r="F65" s="21"/>
      <c r="G65" s="21"/>
      <c r="H65" s="21"/>
      <c r="I65" s="21"/>
      <c r="J65" s="21"/>
      <c r="K65" s="21">
        <v>3</v>
      </c>
      <c r="L65" s="21"/>
      <c r="M65" s="21"/>
      <c r="N65" s="21">
        <v>9</v>
      </c>
      <c r="O65" s="21"/>
      <c r="P65" s="21"/>
      <c r="Q65" s="21"/>
      <c r="R65" s="78"/>
    </row>
    <row r="66" spans="1:18" x14ac:dyDescent="0.25">
      <c r="A66" s="109"/>
      <c r="B66" s="18" t="s">
        <v>59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77"/>
    </row>
    <row r="67" spans="1:18" ht="45" x14ac:dyDescent="0.25">
      <c r="A67" s="109"/>
      <c r="B67" s="20" t="s">
        <v>60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78"/>
    </row>
    <row r="68" spans="1:18" x14ac:dyDescent="0.25">
      <c r="A68" s="109"/>
      <c r="B68" s="18" t="s">
        <v>61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77"/>
    </row>
    <row r="69" spans="1:18" x14ac:dyDescent="0.25">
      <c r="A69" s="109"/>
      <c r="B69" s="20" t="s">
        <v>62</v>
      </c>
      <c r="C69" s="21"/>
      <c r="D69" s="21"/>
      <c r="E69" s="21">
        <v>12</v>
      </c>
      <c r="F69" s="21">
        <v>9</v>
      </c>
      <c r="G69" s="21"/>
      <c r="H69" s="21"/>
      <c r="I69" s="21"/>
      <c r="J69" s="21">
        <v>5</v>
      </c>
      <c r="K69" s="21"/>
      <c r="L69" s="21"/>
      <c r="M69" s="21"/>
      <c r="N69" s="21"/>
      <c r="O69" s="21"/>
      <c r="P69" s="21"/>
      <c r="Q69" s="21"/>
      <c r="R69" s="78"/>
    </row>
    <row r="70" spans="1:18" x14ac:dyDescent="0.25">
      <c r="A70" s="110" t="s">
        <v>186</v>
      </c>
      <c r="B70" s="22" t="s">
        <v>63</v>
      </c>
      <c r="C70" s="23">
        <v>9</v>
      </c>
      <c r="D70" s="23"/>
      <c r="E70" s="23"/>
      <c r="F70" s="23">
        <v>4</v>
      </c>
      <c r="G70" s="23"/>
      <c r="H70" s="23">
        <v>12</v>
      </c>
      <c r="I70" s="23">
        <v>3</v>
      </c>
      <c r="J70" s="23">
        <v>9</v>
      </c>
      <c r="K70" s="23">
        <v>10</v>
      </c>
      <c r="L70" s="23"/>
      <c r="M70" s="23"/>
      <c r="N70" s="23"/>
      <c r="O70" s="23">
        <v>2</v>
      </c>
      <c r="P70" s="23"/>
      <c r="Q70" s="23"/>
      <c r="R70" s="79"/>
    </row>
    <row r="71" spans="1:18" x14ac:dyDescent="0.25">
      <c r="A71" s="111"/>
      <c r="B71" s="10" t="s">
        <v>64</v>
      </c>
      <c r="C71" s="11"/>
      <c r="D71" s="11"/>
      <c r="E71" s="11"/>
      <c r="F71" s="11"/>
      <c r="G71" s="11"/>
      <c r="H71" s="11"/>
      <c r="I71" s="11"/>
      <c r="J71" s="11">
        <v>8</v>
      </c>
      <c r="K71" s="11">
        <v>9</v>
      </c>
      <c r="L71" s="11"/>
      <c r="M71" s="11"/>
      <c r="N71" s="11"/>
      <c r="O71" s="11"/>
      <c r="P71" s="11"/>
      <c r="Q71" s="11"/>
      <c r="R71" s="80"/>
    </row>
    <row r="72" spans="1:18" x14ac:dyDescent="0.25">
      <c r="A72" s="111"/>
      <c r="B72" s="22" t="s">
        <v>65</v>
      </c>
      <c r="C72" s="23"/>
      <c r="D72" s="23"/>
      <c r="E72" s="23">
        <v>12</v>
      </c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79"/>
    </row>
    <row r="73" spans="1:18" ht="30" x14ac:dyDescent="0.25">
      <c r="A73" s="111"/>
      <c r="B73" s="10" t="s">
        <v>66</v>
      </c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80"/>
    </row>
    <row r="74" spans="1:18" ht="30" x14ac:dyDescent="0.25">
      <c r="A74" s="111"/>
      <c r="B74" s="22" t="s">
        <v>67</v>
      </c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79"/>
    </row>
    <row r="75" spans="1:18" x14ac:dyDescent="0.25">
      <c r="A75" s="111"/>
      <c r="B75" s="10" t="s">
        <v>68</v>
      </c>
      <c r="C75" s="11"/>
      <c r="D75" s="11"/>
      <c r="E75" s="11"/>
      <c r="F75" s="11"/>
      <c r="G75" s="11"/>
      <c r="H75" s="11">
        <v>12</v>
      </c>
      <c r="I75" s="11"/>
      <c r="J75" s="11"/>
      <c r="K75" s="11"/>
      <c r="L75" s="11"/>
      <c r="M75" s="11"/>
      <c r="N75" s="11"/>
      <c r="O75" s="11"/>
      <c r="P75" s="11"/>
      <c r="Q75" s="11"/>
      <c r="R75" s="80"/>
    </row>
    <row r="76" spans="1:18" x14ac:dyDescent="0.25">
      <c r="A76" s="111"/>
      <c r="B76" s="22" t="s">
        <v>69</v>
      </c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79"/>
    </row>
    <row r="77" spans="1:18" x14ac:dyDescent="0.25">
      <c r="A77" s="111"/>
      <c r="B77" s="10" t="s">
        <v>70</v>
      </c>
      <c r="C77" s="11"/>
      <c r="D77" s="11"/>
      <c r="E77" s="11"/>
      <c r="F77" s="11">
        <v>1</v>
      </c>
      <c r="G77" s="11"/>
      <c r="H77" s="11"/>
      <c r="I77" s="11"/>
      <c r="J77" s="11">
        <v>1</v>
      </c>
      <c r="K77" s="11">
        <v>12</v>
      </c>
      <c r="L77" s="11"/>
      <c r="M77" s="11"/>
      <c r="N77" s="11"/>
      <c r="O77" s="11"/>
      <c r="P77" s="11"/>
      <c r="Q77" s="11"/>
      <c r="R77" s="80"/>
    </row>
    <row r="78" spans="1:18" x14ac:dyDescent="0.25">
      <c r="A78" s="111"/>
      <c r="B78" s="22" t="s">
        <v>71</v>
      </c>
      <c r="C78" s="23"/>
      <c r="D78" s="23"/>
      <c r="E78" s="23"/>
      <c r="F78" s="23"/>
      <c r="G78" s="23"/>
      <c r="H78" s="23"/>
      <c r="I78" s="23"/>
      <c r="J78" s="23">
        <v>1</v>
      </c>
      <c r="K78" s="23">
        <v>12</v>
      </c>
      <c r="L78" s="23"/>
      <c r="M78" s="23"/>
      <c r="N78" s="23"/>
      <c r="O78" s="23"/>
      <c r="P78" s="23"/>
      <c r="Q78" s="23"/>
      <c r="R78" s="79"/>
    </row>
    <row r="79" spans="1:18" x14ac:dyDescent="0.25">
      <c r="A79" s="111"/>
      <c r="B79" s="10" t="s">
        <v>72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80"/>
    </row>
    <row r="80" spans="1:18" x14ac:dyDescent="0.25">
      <c r="A80" s="111"/>
      <c r="B80" s="22" t="s">
        <v>73</v>
      </c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79"/>
    </row>
    <row r="81" spans="1:18" x14ac:dyDescent="0.25">
      <c r="A81" s="111"/>
      <c r="B81" s="10" t="s">
        <v>74</v>
      </c>
      <c r="C81" s="11"/>
      <c r="D81" s="11"/>
      <c r="E81" s="11">
        <v>1</v>
      </c>
      <c r="F81" s="11">
        <v>1</v>
      </c>
      <c r="G81" s="11"/>
      <c r="H81" s="11">
        <v>12</v>
      </c>
      <c r="I81" s="11"/>
      <c r="J81" s="11"/>
      <c r="K81" s="11">
        <v>11</v>
      </c>
      <c r="L81" s="11"/>
      <c r="M81" s="11"/>
      <c r="N81" s="11"/>
      <c r="O81" s="11"/>
      <c r="P81" s="11"/>
      <c r="Q81" s="11"/>
      <c r="R81" s="80"/>
    </row>
    <row r="82" spans="1:18" x14ac:dyDescent="0.25">
      <c r="A82" s="111"/>
      <c r="B82" s="22" t="s">
        <v>75</v>
      </c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79"/>
    </row>
    <row r="83" spans="1:18" x14ac:dyDescent="0.25">
      <c r="A83" s="112" t="s">
        <v>187</v>
      </c>
      <c r="B83" s="34" t="s">
        <v>76</v>
      </c>
      <c r="C83" s="35"/>
      <c r="D83" s="35"/>
      <c r="E83" s="35"/>
      <c r="F83" s="35"/>
      <c r="G83" s="35"/>
      <c r="H83" s="35">
        <v>9</v>
      </c>
      <c r="I83" s="35">
        <v>4</v>
      </c>
      <c r="J83" s="35">
        <v>7</v>
      </c>
      <c r="K83" s="35"/>
      <c r="L83" s="35"/>
      <c r="M83" s="35"/>
      <c r="N83" s="35"/>
      <c r="O83" s="35"/>
      <c r="P83" s="35"/>
      <c r="Q83" s="35"/>
      <c r="R83" s="81"/>
    </row>
    <row r="84" spans="1:18" x14ac:dyDescent="0.25">
      <c r="A84" s="112"/>
      <c r="B84" s="36" t="s">
        <v>77</v>
      </c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82"/>
    </row>
    <row r="85" spans="1:18" x14ac:dyDescent="0.25">
      <c r="A85" s="112"/>
      <c r="B85" s="34" t="s">
        <v>78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81"/>
    </row>
    <row r="86" spans="1:18" x14ac:dyDescent="0.25">
      <c r="A86" s="112"/>
      <c r="B86" s="36" t="s">
        <v>79</v>
      </c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82"/>
    </row>
    <row r="87" spans="1:18" x14ac:dyDescent="0.25">
      <c r="A87" s="112"/>
      <c r="B87" s="34" t="s">
        <v>80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81"/>
    </row>
    <row r="88" spans="1:18" x14ac:dyDescent="0.25">
      <c r="A88" s="112"/>
      <c r="B88" s="36" t="s">
        <v>81</v>
      </c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82"/>
    </row>
    <row r="89" spans="1:18" x14ac:dyDescent="0.25">
      <c r="A89" s="112"/>
      <c r="B89" s="34" t="s">
        <v>82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81"/>
    </row>
    <row r="90" spans="1:18" x14ac:dyDescent="0.25">
      <c r="A90" s="112"/>
      <c r="B90" s="36" t="s">
        <v>83</v>
      </c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82"/>
    </row>
    <row r="91" spans="1:18" x14ac:dyDescent="0.25">
      <c r="A91" s="112"/>
      <c r="B91" s="34" t="s">
        <v>84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81"/>
    </row>
    <row r="92" spans="1:18" x14ac:dyDescent="0.25">
      <c r="A92" s="113" t="s">
        <v>188</v>
      </c>
      <c r="B92" s="26" t="s">
        <v>85</v>
      </c>
      <c r="C92" s="27"/>
      <c r="D92" s="27"/>
      <c r="E92" s="27">
        <v>12</v>
      </c>
      <c r="F92" s="27">
        <v>3</v>
      </c>
      <c r="G92" s="27"/>
      <c r="H92" s="27"/>
      <c r="I92" s="27"/>
      <c r="J92" s="27">
        <v>12</v>
      </c>
      <c r="K92" s="27"/>
      <c r="L92" s="27"/>
      <c r="M92" s="27"/>
      <c r="N92" s="27">
        <v>6</v>
      </c>
      <c r="O92" s="27"/>
      <c r="P92" s="27"/>
      <c r="Q92" s="27"/>
      <c r="R92" s="83"/>
    </row>
    <row r="93" spans="1:18" x14ac:dyDescent="0.25">
      <c r="A93" s="113"/>
      <c r="B93" s="28" t="s">
        <v>86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84"/>
    </row>
    <row r="94" spans="1:18" x14ac:dyDescent="0.25">
      <c r="A94" s="113"/>
      <c r="B94" s="26" t="s">
        <v>87</v>
      </c>
      <c r="C94" s="27"/>
      <c r="D94" s="27"/>
      <c r="E94" s="27"/>
      <c r="F94" s="27"/>
      <c r="G94" s="27"/>
      <c r="H94" s="27">
        <v>5</v>
      </c>
      <c r="I94" s="27"/>
      <c r="J94" s="27"/>
      <c r="K94" s="27"/>
      <c r="L94" s="27"/>
      <c r="M94" s="27"/>
      <c r="N94" s="27"/>
      <c r="O94" s="27"/>
      <c r="P94" s="27"/>
      <c r="Q94" s="27"/>
      <c r="R94" s="83"/>
    </row>
    <row r="95" spans="1:18" x14ac:dyDescent="0.25">
      <c r="A95" s="113"/>
      <c r="B95" s="28" t="s">
        <v>88</v>
      </c>
      <c r="C95" s="29"/>
      <c r="D95" s="29"/>
      <c r="E95" s="29">
        <v>7</v>
      </c>
      <c r="F95" s="29"/>
      <c r="G95" s="29"/>
      <c r="H95" s="29">
        <v>1</v>
      </c>
      <c r="I95" s="29"/>
      <c r="J95" s="29"/>
      <c r="K95" s="29"/>
      <c r="L95" s="29"/>
      <c r="M95" s="29"/>
      <c r="N95" s="29">
        <v>1</v>
      </c>
      <c r="O95" s="29"/>
      <c r="P95" s="29"/>
      <c r="Q95" s="29"/>
      <c r="R95" s="84"/>
    </row>
    <row r="96" spans="1:18" x14ac:dyDescent="0.25">
      <c r="A96" s="113"/>
      <c r="B96" s="26" t="s">
        <v>89</v>
      </c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83"/>
    </row>
    <row r="97" spans="1:18" x14ac:dyDescent="0.25">
      <c r="A97" s="113"/>
      <c r="B97" s="28" t="s">
        <v>90</v>
      </c>
      <c r="C97" s="29"/>
      <c r="D97" s="29"/>
      <c r="E97" s="29"/>
      <c r="F97" s="29">
        <v>1</v>
      </c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84"/>
    </row>
    <row r="98" spans="1:18" x14ac:dyDescent="0.25">
      <c r="A98" s="113"/>
      <c r="B98" s="26" t="s">
        <v>91</v>
      </c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83"/>
    </row>
    <row r="99" spans="1:18" x14ac:dyDescent="0.25">
      <c r="A99" s="113"/>
      <c r="B99" s="28" t="s">
        <v>92</v>
      </c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84"/>
    </row>
    <row r="100" spans="1:18" x14ac:dyDescent="0.25">
      <c r="A100" s="113"/>
      <c r="B100" s="26" t="s">
        <v>93</v>
      </c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83"/>
    </row>
    <row r="101" spans="1:18" x14ac:dyDescent="0.25">
      <c r="A101" s="113"/>
      <c r="B101" s="28" t="s">
        <v>94</v>
      </c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84"/>
    </row>
    <row r="102" spans="1:18" x14ac:dyDescent="0.25">
      <c r="A102" s="113"/>
      <c r="B102" s="26" t="s">
        <v>95</v>
      </c>
      <c r="C102" s="27"/>
      <c r="D102" s="27"/>
      <c r="E102" s="27">
        <v>1</v>
      </c>
      <c r="F102" s="27"/>
      <c r="G102" s="27"/>
      <c r="H102" s="27"/>
      <c r="I102" s="27"/>
      <c r="J102" s="27">
        <v>5</v>
      </c>
      <c r="K102" s="27"/>
      <c r="L102" s="27"/>
      <c r="M102" s="27"/>
      <c r="N102" s="27"/>
      <c r="O102" s="27"/>
      <c r="P102" s="27"/>
      <c r="Q102" s="27"/>
      <c r="R102" s="83"/>
    </row>
    <row r="103" spans="1:18" x14ac:dyDescent="0.25">
      <c r="A103" s="114" t="s">
        <v>189</v>
      </c>
      <c r="B103" s="30" t="s">
        <v>96</v>
      </c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85"/>
    </row>
    <row r="104" spans="1:18" x14ac:dyDescent="0.25">
      <c r="A104" s="114"/>
      <c r="B104" s="32" t="s">
        <v>97</v>
      </c>
      <c r="C104" s="33"/>
      <c r="D104" s="33"/>
      <c r="E104" s="33">
        <v>12</v>
      </c>
      <c r="F104" s="33">
        <v>9</v>
      </c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86"/>
    </row>
    <row r="105" spans="1:18" x14ac:dyDescent="0.25">
      <c r="A105" s="114"/>
      <c r="B105" s="30" t="s">
        <v>98</v>
      </c>
      <c r="C105" s="31"/>
      <c r="D105" s="31"/>
      <c r="E105" s="31">
        <v>9</v>
      </c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85"/>
    </row>
    <row r="106" spans="1:18" x14ac:dyDescent="0.25">
      <c r="A106" s="114"/>
      <c r="B106" s="32" t="s">
        <v>99</v>
      </c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86"/>
    </row>
    <row r="107" spans="1:18" ht="30" x14ac:dyDescent="0.25">
      <c r="A107" s="114"/>
      <c r="B107" s="30" t="s">
        <v>100</v>
      </c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85"/>
    </row>
    <row r="108" spans="1:18" ht="30" x14ac:dyDescent="0.25">
      <c r="A108" s="114"/>
      <c r="B108" s="32" t="s">
        <v>101</v>
      </c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86"/>
    </row>
    <row r="109" spans="1:18" x14ac:dyDescent="0.25">
      <c r="A109" s="114"/>
      <c r="B109" s="30" t="s">
        <v>102</v>
      </c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85"/>
    </row>
    <row r="110" spans="1:18" x14ac:dyDescent="0.25">
      <c r="A110" s="114"/>
      <c r="B110" s="32" t="s">
        <v>103</v>
      </c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86"/>
    </row>
    <row r="111" spans="1:18" x14ac:dyDescent="0.25">
      <c r="A111" s="115" t="s">
        <v>190</v>
      </c>
      <c r="B111" s="38" t="s">
        <v>104</v>
      </c>
      <c r="C111" s="39">
        <v>1</v>
      </c>
      <c r="D111" s="39"/>
      <c r="E111" s="39"/>
      <c r="F111" s="39">
        <v>9</v>
      </c>
      <c r="G111" s="39"/>
      <c r="H111" s="39">
        <v>9</v>
      </c>
      <c r="I111" s="39">
        <v>9</v>
      </c>
      <c r="J111" s="39"/>
      <c r="K111" s="39">
        <v>1</v>
      </c>
      <c r="L111" s="39"/>
      <c r="M111" s="39"/>
      <c r="N111" s="39">
        <v>5</v>
      </c>
      <c r="O111" s="39">
        <v>2</v>
      </c>
      <c r="P111" s="39"/>
      <c r="Q111" s="39"/>
      <c r="R111" s="87"/>
    </row>
    <row r="112" spans="1:18" x14ac:dyDescent="0.25">
      <c r="A112" s="115"/>
      <c r="B112" s="40" t="s">
        <v>105</v>
      </c>
      <c r="C112" s="41">
        <v>1</v>
      </c>
      <c r="D112" s="41"/>
      <c r="E112" s="41"/>
      <c r="F112" s="41">
        <v>9</v>
      </c>
      <c r="G112" s="41"/>
      <c r="H112" s="41"/>
      <c r="I112" s="41">
        <v>12</v>
      </c>
      <c r="J112" s="41"/>
      <c r="K112" s="41">
        <v>9</v>
      </c>
      <c r="L112" s="41"/>
      <c r="M112" s="41"/>
      <c r="N112" s="41">
        <v>5</v>
      </c>
      <c r="O112" s="41">
        <v>5</v>
      </c>
      <c r="P112" s="41"/>
      <c r="Q112" s="41"/>
      <c r="R112" s="88"/>
    </row>
    <row r="113" spans="1:18" x14ac:dyDescent="0.25">
      <c r="A113" s="115"/>
      <c r="B113" s="38" t="s">
        <v>106</v>
      </c>
      <c r="C113" s="39"/>
      <c r="D113" s="39"/>
      <c r="E113" s="39">
        <v>9</v>
      </c>
      <c r="F113" s="39">
        <v>7</v>
      </c>
      <c r="G113" s="39"/>
      <c r="H113" s="39">
        <v>9</v>
      </c>
      <c r="I113" s="39">
        <v>12</v>
      </c>
      <c r="J113" s="39">
        <v>12</v>
      </c>
      <c r="K113" s="39"/>
      <c r="L113" s="39"/>
      <c r="M113" s="39"/>
      <c r="N113" s="39"/>
      <c r="O113" s="39"/>
      <c r="P113" s="39"/>
      <c r="Q113" s="39"/>
      <c r="R113" s="87"/>
    </row>
    <row r="114" spans="1:18" x14ac:dyDescent="0.25">
      <c r="A114" s="115"/>
      <c r="B114" s="40" t="s">
        <v>107</v>
      </c>
      <c r="C114" s="41"/>
      <c r="D114" s="41"/>
      <c r="E114" s="41">
        <v>12</v>
      </c>
      <c r="F114" s="41">
        <v>1</v>
      </c>
      <c r="G114" s="41"/>
      <c r="H114" s="41">
        <v>12</v>
      </c>
      <c r="I114" s="41">
        <v>1</v>
      </c>
      <c r="J114" s="41"/>
      <c r="K114" s="41">
        <v>1</v>
      </c>
      <c r="L114" s="41"/>
      <c r="M114" s="41"/>
      <c r="N114" s="41">
        <v>10</v>
      </c>
      <c r="O114" s="41"/>
      <c r="P114" s="41"/>
      <c r="Q114" s="41"/>
      <c r="R114" s="88"/>
    </row>
    <row r="115" spans="1:18" x14ac:dyDescent="0.25">
      <c r="A115" s="115"/>
      <c r="B115" s="38" t="s">
        <v>108</v>
      </c>
      <c r="C115" s="39"/>
      <c r="D115" s="39"/>
      <c r="E115" s="39">
        <v>12</v>
      </c>
      <c r="F115" s="39">
        <v>1</v>
      </c>
      <c r="G115" s="39"/>
      <c r="H115" s="39">
        <v>12</v>
      </c>
      <c r="I115" s="39">
        <v>1</v>
      </c>
      <c r="J115" s="39"/>
      <c r="K115" s="39">
        <v>1</v>
      </c>
      <c r="L115" s="39"/>
      <c r="M115" s="39"/>
      <c r="N115" s="39">
        <v>8</v>
      </c>
      <c r="O115" s="39"/>
      <c r="P115" s="39"/>
      <c r="Q115" s="39"/>
      <c r="R115" s="87"/>
    </row>
    <row r="116" spans="1:18" x14ac:dyDescent="0.25">
      <c r="A116" s="115"/>
      <c r="B116" s="40" t="s">
        <v>109</v>
      </c>
      <c r="C116" s="41"/>
      <c r="D116" s="41"/>
      <c r="E116" s="41">
        <v>9</v>
      </c>
      <c r="F116" s="41">
        <v>7</v>
      </c>
      <c r="G116" s="41"/>
      <c r="H116" s="41">
        <v>7</v>
      </c>
      <c r="I116" s="41">
        <v>12</v>
      </c>
      <c r="J116" s="41">
        <v>1</v>
      </c>
      <c r="K116" s="41"/>
      <c r="L116" s="41"/>
      <c r="M116" s="41"/>
      <c r="N116" s="41">
        <v>3</v>
      </c>
      <c r="O116" s="41">
        <v>2</v>
      </c>
      <c r="P116" s="41"/>
      <c r="Q116" s="41"/>
      <c r="R116" s="88"/>
    </row>
    <row r="117" spans="1:18" ht="30" x14ac:dyDescent="0.25">
      <c r="A117" s="115"/>
      <c r="B117" s="38" t="s">
        <v>110</v>
      </c>
      <c r="C117" s="39"/>
      <c r="D117" s="39"/>
      <c r="E117" s="39">
        <v>12</v>
      </c>
      <c r="F117" s="39"/>
      <c r="G117" s="39"/>
      <c r="H117" s="39">
        <v>7</v>
      </c>
      <c r="I117" s="39"/>
      <c r="J117" s="39">
        <v>3</v>
      </c>
      <c r="K117" s="39"/>
      <c r="L117" s="39"/>
      <c r="M117" s="39"/>
      <c r="N117" s="39"/>
      <c r="O117" s="39"/>
      <c r="P117" s="39"/>
      <c r="Q117" s="39"/>
      <c r="R117" s="87"/>
    </row>
    <row r="118" spans="1:18" ht="30" x14ac:dyDescent="0.25">
      <c r="A118" s="115"/>
      <c r="B118" s="40" t="s">
        <v>111</v>
      </c>
      <c r="C118" s="41"/>
      <c r="D118" s="41"/>
      <c r="E118" s="41">
        <v>12</v>
      </c>
      <c r="F118" s="41">
        <v>7</v>
      </c>
      <c r="G118" s="41"/>
      <c r="H118" s="41">
        <v>2</v>
      </c>
      <c r="I118" s="41"/>
      <c r="J118" s="41"/>
      <c r="K118" s="41"/>
      <c r="L118" s="41"/>
      <c r="M118" s="41"/>
      <c r="N118" s="41"/>
      <c r="O118" s="41"/>
      <c r="P118" s="41"/>
      <c r="Q118" s="41"/>
      <c r="R118" s="88"/>
    </row>
    <row r="119" spans="1:18" x14ac:dyDescent="0.25">
      <c r="A119" s="115"/>
      <c r="B119" s="38" t="s">
        <v>112</v>
      </c>
      <c r="C119" s="39"/>
      <c r="D119" s="39"/>
      <c r="E119" s="39"/>
      <c r="F119" s="39"/>
      <c r="G119" s="39"/>
      <c r="H119" s="39"/>
      <c r="I119" s="39"/>
      <c r="J119" s="39">
        <v>1</v>
      </c>
      <c r="K119" s="39"/>
      <c r="L119" s="39"/>
      <c r="M119" s="39"/>
      <c r="N119" s="39"/>
      <c r="O119" s="39"/>
      <c r="P119" s="39"/>
      <c r="Q119" s="39"/>
      <c r="R119" s="87"/>
    </row>
    <row r="120" spans="1:18" x14ac:dyDescent="0.25">
      <c r="A120" s="115"/>
      <c r="B120" s="40" t="s">
        <v>113</v>
      </c>
      <c r="C120" s="41"/>
      <c r="D120" s="41"/>
      <c r="E120" s="41">
        <v>12</v>
      </c>
      <c r="F120" s="41"/>
      <c r="G120" s="41"/>
      <c r="H120" s="41"/>
      <c r="I120" s="41"/>
      <c r="J120" s="41"/>
      <c r="K120" s="41">
        <v>9</v>
      </c>
      <c r="L120" s="41"/>
      <c r="M120" s="41"/>
      <c r="N120" s="41">
        <v>7</v>
      </c>
      <c r="O120" s="41">
        <v>1</v>
      </c>
      <c r="P120" s="41"/>
      <c r="Q120" s="41"/>
      <c r="R120" s="88"/>
    </row>
    <row r="121" spans="1:18" ht="45" x14ac:dyDescent="0.25">
      <c r="A121" s="115"/>
      <c r="B121" s="38" t="s">
        <v>114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87"/>
    </row>
    <row r="122" spans="1:18" x14ac:dyDescent="0.25">
      <c r="A122" s="115"/>
      <c r="B122" s="40" t="s">
        <v>115</v>
      </c>
      <c r="C122" s="41"/>
      <c r="D122" s="41"/>
      <c r="E122" s="41"/>
      <c r="F122" s="41"/>
      <c r="G122" s="41"/>
      <c r="H122" s="41">
        <v>7</v>
      </c>
      <c r="I122" s="41"/>
      <c r="J122" s="41">
        <v>12</v>
      </c>
      <c r="K122" s="41"/>
      <c r="L122" s="41"/>
      <c r="M122" s="41"/>
      <c r="N122" s="41"/>
      <c r="O122" s="41"/>
      <c r="P122" s="41"/>
      <c r="Q122" s="41"/>
      <c r="R122" s="88"/>
    </row>
    <row r="123" spans="1:18" x14ac:dyDescent="0.25">
      <c r="A123" s="115"/>
      <c r="B123" s="38" t="s">
        <v>116</v>
      </c>
      <c r="C123" s="39"/>
      <c r="D123" s="39"/>
      <c r="E123" s="39"/>
      <c r="F123" s="39">
        <v>9</v>
      </c>
      <c r="G123" s="39"/>
      <c r="H123" s="39">
        <v>10</v>
      </c>
      <c r="I123" s="39">
        <v>8</v>
      </c>
      <c r="J123" s="39">
        <v>9</v>
      </c>
      <c r="K123" s="39"/>
      <c r="L123" s="39"/>
      <c r="M123" s="39"/>
      <c r="N123" s="39"/>
      <c r="O123" s="39"/>
      <c r="P123" s="39"/>
      <c r="Q123" s="39"/>
      <c r="R123" s="87"/>
    </row>
    <row r="124" spans="1:18" x14ac:dyDescent="0.25">
      <c r="A124" s="115"/>
      <c r="B124" s="40" t="s">
        <v>117</v>
      </c>
      <c r="C124" s="41"/>
      <c r="D124" s="41"/>
      <c r="E124" s="41"/>
      <c r="F124" s="41">
        <v>3</v>
      </c>
      <c r="G124" s="41"/>
      <c r="H124" s="41">
        <v>7</v>
      </c>
      <c r="I124" s="41">
        <v>9</v>
      </c>
      <c r="J124" s="41">
        <v>12</v>
      </c>
      <c r="K124" s="41"/>
      <c r="L124" s="41"/>
      <c r="M124" s="41"/>
      <c r="N124" s="41"/>
      <c r="O124" s="41"/>
      <c r="P124" s="41"/>
      <c r="Q124" s="41"/>
      <c r="R124" s="88"/>
    </row>
    <row r="125" spans="1:18" x14ac:dyDescent="0.25">
      <c r="A125" s="115"/>
      <c r="B125" s="38" t="s">
        <v>118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87"/>
    </row>
    <row r="126" spans="1:18" x14ac:dyDescent="0.25">
      <c r="A126" s="115"/>
      <c r="B126" s="40" t="s">
        <v>119</v>
      </c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88"/>
    </row>
    <row r="127" spans="1:18" x14ac:dyDescent="0.25">
      <c r="A127" s="115"/>
      <c r="B127" s="38" t="s">
        <v>120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87"/>
    </row>
    <row r="128" spans="1:18" x14ac:dyDescent="0.25">
      <c r="A128" s="115"/>
      <c r="B128" s="40" t="s">
        <v>121</v>
      </c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88"/>
    </row>
    <row r="129" spans="1:18" x14ac:dyDescent="0.25">
      <c r="A129" s="115"/>
      <c r="B129" s="38" t="s">
        <v>122</v>
      </c>
      <c r="C129" s="39"/>
      <c r="D129" s="39"/>
      <c r="E129" s="39">
        <v>9</v>
      </c>
      <c r="F129" s="39">
        <v>12</v>
      </c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87"/>
    </row>
    <row r="130" spans="1:18" x14ac:dyDescent="0.25">
      <c r="A130" s="115"/>
      <c r="B130" s="40" t="s">
        <v>123</v>
      </c>
      <c r="C130" s="41"/>
      <c r="D130" s="41"/>
      <c r="E130" s="41">
        <v>7</v>
      </c>
      <c r="F130" s="41"/>
      <c r="G130" s="41"/>
      <c r="H130" s="41">
        <v>12</v>
      </c>
      <c r="I130" s="41"/>
      <c r="J130" s="41">
        <v>12</v>
      </c>
      <c r="K130" s="41">
        <v>7</v>
      </c>
      <c r="L130" s="41"/>
      <c r="M130" s="41"/>
      <c r="N130" s="41"/>
      <c r="O130" s="41"/>
      <c r="P130" s="41"/>
      <c r="Q130" s="41"/>
      <c r="R130" s="88"/>
    </row>
    <row r="131" spans="1:18" ht="30" x14ac:dyDescent="0.25">
      <c r="A131" s="115"/>
      <c r="B131" s="38" t="s">
        <v>124</v>
      </c>
      <c r="C131" s="39"/>
      <c r="D131" s="39"/>
      <c r="E131" s="39"/>
      <c r="F131" s="39"/>
      <c r="G131" s="39"/>
      <c r="H131" s="39"/>
      <c r="I131" s="39"/>
      <c r="J131" s="39">
        <v>12</v>
      </c>
      <c r="K131" s="39">
        <v>7</v>
      </c>
      <c r="L131" s="39"/>
      <c r="M131" s="39"/>
      <c r="N131" s="39"/>
      <c r="O131" s="39"/>
      <c r="P131" s="39"/>
      <c r="Q131" s="39"/>
      <c r="R131" s="87"/>
    </row>
    <row r="132" spans="1:18" ht="30" x14ac:dyDescent="0.25">
      <c r="A132" s="115"/>
      <c r="B132" s="40" t="s">
        <v>125</v>
      </c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88"/>
    </row>
    <row r="133" spans="1:18" x14ac:dyDescent="0.25">
      <c r="A133" s="115"/>
      <c r="B133" s="38" t="s">
        <v>126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87"/>
    </row>
    <row r="134" spans="1:18" x14ac:dyDescent="0.25">
      <c r="A134" s="115"/>
      <c r="B134" s="40" t="s">
        <v>127</v>
      </c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88"/>
    </row>
    <row r="135" spans="1:18" x14ac:dyDescent="0.25">
      <c r="A135" s="115"/>
      <c r="B135" s="38" t="s">
        <v>128</v>
      </c>
      <c r="C135" s="39">
        <v>1</v>
      </c>
      <c r="D135" s="39"/>
      <c r="E135" s="39">
        <v>5</v>
      </c>
      <c r="F135" s="39">
        <v>1</v>
      </c>
      <c r="G135" s="39"/>
      <c r="H135" s="39">
        <v>12</v>
      </c>
      <c r="I135" s="39"/>
      <c r="J135" s="39"/>
      <c r="K135" s="39"/>
      <c r="L135" s="39"/>
      <c r="M135" s="39"/>
      <c r="N135" s="39"/>
      <c r="O135" s="39"/>
      <c r="P135" s="39"/>
      <c r="Q135" s="39"/>
      <c r="R135" s="87"/>
    </row>
    <row r="136" spans="1:18" x14ac:dyDescent="0.25">
      <c r="A136" s="115"/>
      <c r="B136" s="40" t="s">
        <v>129</v>
      </c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88"/>
    </row>
    <row r="137" spans="1:18" x14ac:dyDescent="0.25">
      <c r="A137" s="115"/>
      <c r="B137" s="38" t="s">
        <v>130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87"/>
    </row>
    <row r="138" spans="1:18" x14ac:dyDescent="0.25">
      <c r="A138" s="115"/>
      <c r="B138" s="40" t="s">
        <v>131</v>
      </c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>
        <v>1</v>
      </c>
      <c r="P138" s="41"/>
      <c r="Q138" s="41"/>
      <c r="R138" s="88"/>
    </row>
    <row r="139" spans="1:18" x14ac:dyDescent="0.25">
      <c r="A139" s="115"/>
      <c r="B139" s="38" t="s">
        <v>132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87"/>
    </row>
    <row r="140" spans="1:18" x14ac:dyDescent="0.25">
      <c r="A140" s="105" t="s">
        <v>191</v>
      </c>
      <c r="B140" s="42" t="s">
        <v>133</v>
      </c>
      <c r="C140" s="43">
        <v>3</v>
      </c>
      <c r="D140" s="43"/>
      <c r="E140" s="43">
        <v>9</v>
      </c>
      <c r="F140" s="43">
        <v>1</v>
      </c>
      <c r="G140" s="43"/>
      <c r="H140" s="43">
        <v>9</v>
      </c>
      <c r="I140" s="43">
        <v>12</v>
      </c>
      <c r="J140" s="43">
        <v>7</v>
      </c>
      <c r="K140" s="43">
        <v>3</v>
      </c>
      <c r="L140" s="43"/>
      <c r="M140" s="43"/>
      <c r="N140" s="43">
        <v>7</v>
      </c>
      <c r="O140" s="43"/>
      <c r="P140" s="43"/>
      <c r="Q140" s="43"/>
      <c r="R140" s="89"/>
    </row>
    <row r="141" spans="1:18" x14ac:dyDescent="0.25">
      <c r="A141" s="105"/>
      <c r="B141" s="44" t="s">
        <v>134</v>
      </c>
      <c r="C141" s="45"/>
      <c r="D141" s="45"/>
      <c r="E141" s="45">
        <v>12</v>
      </c>
      <c r="F141" s="45">
        <v>1</v>
      </c>
      <c r="G141" s="45"/>
      <c r="H141" s="45">
        <v>7</v>
      </c>
      <c r="I141" s="45">
        <v>2</v>
      </c>
      <c r="J141" s="45">
        <v>9</v>
      </c>
      <c r="K141" s="45">
        <v>12</v>
      </c>
      <c r="L141" s="45"/>
      <c r="M141" s="45"/>
      <c r="N141" s="45">
        <v>12</v>
      </c>
      <c r="O141" s="45"/>
      <c r="P141" s="45"/>
      <c r="Q141" s="45"/>
      <c r="R141" s="90"/>
    </row>
    <row r="142" spans="1:18" x14ac:dyDescent="0.25">
      <c r="A142" s="105"/>
      <c r="B142" s="42" t="s">
        <v>135</v>
      </c>
      <c r="C142" s="43"/>
      <c r="D142" s="43"/>
      <c r="E142" s="43"/>
      <c r="F142" s="43"/>
      <c r="G142" s="43"/>
      <c r="H142" s="43">
        <v>7</v>
      </c>
      <c r="I142" s="43"/>
      <c r="J142" s="43">
        <v>12</v>
      </c>
      <c r="K142" s="43">
        <v>3</v>
      </c>
      <c r="L142" s="43"/>
      <c r="M142" s="43"/>
      <c r="N142" s="43">
        <v>4</v>
      </c>
      <c r="O142" s="43"/>
      <c r="P142" s="43"/>
      <c r="Q142" s="43"/>
      <c r="R142" s="89"/>
    </row>
    <row r="143" spans="1:18" x14ac:dyDescent="0.25">
      <c r="A143" s="105"/>
      <c r="B143" s="44" t="s">
        <v>136</v>
      </c>
      <c r="C143" s="45">
        <v>1</v>
      </c>
      <c r="D143" s="45"/>
      <c r="E143" s="45">
        <v>12</v>
      </c>
      <c r="F143" s="45"/>
      <c r="G143" s="45"/>
      <c r="H143" s="45">
        <v>7</v>
      </c>
      <c r="I143" s="45">
        <v>2</v>
      </c>
      <c r="J143" s="45"/>
      <c r="K143" s="45"/>
      <c r="L143" s="45"/>
      <c r="M143" s="45"/>
      <c r="N143" s="45"/>
      <c r="O143" s="45">
        <v>3</v>
      </c>
      <c r="P143" s="45"/>
      <c r="Q143" s="45"/>
      <c r="R143" s="90"/>
    </row>
    <row r="144" spans="1:18" x14ac:dyDescent="0.25">
      <c r="A144" s="105"/>
      <c r="B144" s="42" t="s">
        <v>137</v>
      </c>
      <c r="C144" s="43"/>
      <c r="D144" s="43"/>
      <c r="E144" s="43"/>
      <c r="F144" s="43"/>
      <c r="G144" s="43"/>
      <c r="H144" s="43">
        <v>12</v>
      </c>
      <c r="I144" s="43"/>
      <c r="J144" s="43"/>
      <c r="K144" s="43">
        <v>3</v>
      </c>
      <c r="L144" s="43"/>
      <c r="M144" s="43"/>
      <c r="N144" s="43"/>
      <c r="O144" s="43"/>
      <c r="P144" s="43"/>
      <c r="Q144" s="43"/>
      <c r="R144" s="89"/>
    </row>
    <row r="145" spans="1:18" x14ac:dyDescent="0.25">
      <c r="A145" s="105"/>
      <c r="B145" s="44" t="s">
        <v>138</v>
      </c>
      <c r="C145" s="45">
        <v>1</v>
      </c>
      <c r="D145" s="45"/>
      <c r="E145" s="45"/>
      <c r="F145" s="45">
        <v>11</v>
      </c>
      <c r="G145" s="45"/>
      <c r="H145" s="45">
        <v>2</v>
      </c>
      <c r="I145" s="45">
        <v>9</v>
      </c>
      <c r="J145" s="45">
        <v>1</v>
      </c>
      <c r="K145" s="45">
        <v>7</v>
      </c>
      <c r="L145" s="45"/>
      <c r="M145" s="45"/>
      <c r="N145" s="45">
        <v>7</v>
      </c>
      <c r="O145" s="45"/>
      <c r="P145" s="45"/>
      <c r="Q145" s="45"/>
      <c r="R145" s="90"/>
    </row>
    <row r="146" spans="1:18" x14ac:dyDescent="0.25">
      <c r="A146" s="105"/>
      <c r="B146" s="42" t="s">
        <v>139</v>
      </c>
      <c r="C146" s="43"/>
      <c r="D146" s="43"/>
      <c r="E146" s="43">
        <v>9</v>
      </c>
      <c r="F146" s="43">
        <v>7</v>
      </c>
      <c r="G146" s="43"/>
      <c r="H146" s="43">
        <v>5</v>
      </c>
      <c r="I146" s="43">
        <v>12</v>
      </c>
      <c r="J146" s="43">
        <v>7</v>
      </c>
      <c r="K146" s="43">
        <v>7</v>
      </c>
      <c r="L146" s="43"/>
      <c r="M146" s="43"/>
      <c r="N146" s="43"/>
      <c r="O146" s="43"/>
      <c r="P146" s="43"/>
      <c r="Q146" s="43"/>
      <c r="R146" s="89"/>
    </row>
    <row r="147" spans="1:18" x14ac:dyDescent="0.25">
      <c r="A147" s="105"/>
      <c r="B147" s="44" t="s">
        <v>140</v>
      </c>
      <c r="C147" s="45">
        <v>2</v>
      </c>
      <c r="D147" s="45"/>
      <c r="E147" s="45">
        <v>9</v>
      </c>
      <c r="F147" s="45">
        <v>12</v>
      </c>
      <c r="G147" s="45"/>
      <c r="H147" s="45"/>
      <c r="I147" s="45">
        <v>9</v>
      </c>
      <c r="J147" s="45">
        <v>12</v>
      </c>
      <c r="K147" s="45"/>
      <c r="L147" s="45"/>
      <c r="M147" s="45"/>
      <c r="N147" s="45">
        <v>3</v>
      </c>
      <c r="O147" s="45">
        <v>2</v>
      </c>
      <c r="P147" s="45"/>
      <c r="Q147" s="45"/>
      <c r="R147" s="90"/>
    </row>
    <row r="148" spans="1:18" x14ac:dyDescent="0.25">
      <c r="A148" s="105"/>
      <c r="B148" s="42" t="s">
        <v>141</v>
      </c>
      <c r="C148" s="43"/>
      <c r="D148" s="43"/>
      <c r="E148" s="43">
        <v>7</v>
      </c>
      <c r="F148" s="43"/>
      <c r="G148" s="43"/>
      <c r="H148" s="43"/>
      <c r="I148" s="43">
        <v>2</v>
      </c>
      <c r="J148" s="43"/>
      <c r="K148" s="43"/>
      <c r="L148" s="43"/>
      <c r="M148" s="43"/>
      <c r="N148" s="43"/>
      <c r="O148" s="43"/>
      <c r="P148" s="43"/>
      <c r="Q148" s="43"/>
      <c r="R148" s="89"/>
    </row>
    <row r="149" spans="1:18" x14ac:dyDescent="0.25">
      <c r="A149" s="105"/>
      <c r="B149" s="44" t="s">
        <v>142</v>
      </c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90"/>
    </row>
    <row r="150" spans="1:18" x14ac:dyDescent="0.25">
      <c r="A150" s="105"/>
      <c r="B150" s="42" t="s">
        <v>143</v>
      </c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89"/>
    </row>
    <row r="151" spans="1:18" ht="30" x14ac:dyDescent="0.25">
      <c r="A151" s="105"/>
      <c r="B151" s="44" t="s">
        <v>144</v>
      </c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>
        <v>6</v>
      </c>
      <c r="O151" s="45"/>
      <c r="P151" s="45"/>
      <c r="Q151" s="45"/>
      <c r="R151" s="90"/>
    </row>
    <row r="152" spans="1:18" x14ac:dyDescent="0.25">
      <c r="A152" s="105"/>
      <c r="B152" s="42" t="s">
        <v>145</v>
      </c>
      <c r="C152" s="43"/>
      <c r="D152" s="43"/>
      <c r="E152" s="43">
        <v>8</v>
      </c>
      <c r="F152" s="43">
        <v>12</v>
      </c>
      <c r="G152" s="43"/>
      <c r="H152" s="43"/>
      <c r="I152" s="43">
        <v>5</v>
      </c>
      <c r="J152" s="43">
        <v>5</v>
      </c>
      <c r="K152" s="43">
        <v>2</v>
      </c>
      <c r="L152" s="43"/>
      <c r="M152" s="43"/>
      <c r="N152" s="43"/>
      <c r="O152" s="43"/>
      <c r="P152" s="43"/>
      <c r="Q152" s="43"/>
      <c r="R152" s="89"/>
    </row>
    <row r="153" spans="1:18" ht="30" x14ac:dyDescent="0.25">
      <c r="A153" s="105"/>
      <c r="B153" s="44" t="s">
        <v>146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90"/>
    </row>
    <row r="154" spans="1:18" x14ac:dyDescent="0.25">
      <c r="A154" s="105"/>
      <c r="B154" s="42" t="s">
        <v>147</v>
      </c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89"/>
    </row>
    <row r="155" spans="1:18" x14ac:dyDescent="0.25">
      <c r="A155" s="105"/>
      <c r="B155" s="44" t="s">
        <v>148</v>
      </c>
      <c r="C155" s="45"/>
      <c r="D155" s="45"/>
      <c r="E155" s="45">
        <v>12</v>
      </c>
      <c r="F155" s="45">
        <v>7</v>
      </c>
      <c r="G155" s="45"/>
      <c r="H155" s="45"/>
      <c r="I155" s="45"/>
      <c r="J155" s="45">
        <v>12</v>
      </c>
      <c r="K155" s="45"/>
      <c r="L155" s="45"/>
      <c r="M155" s="45"/>
      <c r="N155" s="45">
        <v>12</v>
      </c>
      <c r="O155" s="45"/>
      <c r="P155" s="45"/>
      <c r="Q155" s="45"/>
      <c r="R155" s="90"/>
    </row>
    <row r="156" spans="1:18" ht="30" x14ac:dyDescent="0.25">
      <c r="A156" s="105"/>
      <c r="B156" s="42" t="s">
        <v>149</v>
      </c>
      <c r="C156" s="43"/>
      <c r="D156" s="43"/>
      <c r="E156" s="43">
        <v>11</v>
      </c>
      <c r="F156" s="43">
        <v>7</v>
      </c>
      <c r="G156" s="43"/>
      <c r="H156" s="43">
        <v>7</v>
      </c>
      <c r="I156" s="43">
        <v>12</v>
      </c>
      <c r="J156" s="43">
        <v>9</v>
      </c>
      <c r="K156" s="43"/>
      <c r="L156" s="43"/>
      <c r="M156" s="43"/>
      <c r="N156" s="43"/>
      <c r="O156" s="43"/>
      <c r="P156" s="43"/>
      <c r="Q156" s="43"/>
      <c r="R156" s="89"/>
    </row>
    <row r="157" spans="1:18" x14ac:dyDescent="0.25">
      <c r="A157" s="105"/>
      <c r="B157" s="44" t="s">
        <v>150</v>
      </c>
      <c r="C157" s="45"/>
      <c r="D157" s="45"/>
      <c r="E157" s="45">
        <v>11</v>
      </c>
      <c r="F157" s="45">
        <v>7</v>
      </c>
      <c r="G157" s="45"/>
      <c r="H157" s="45">
        <v>1</v>
      </c>
      <c r="I157" s="45"/>
      <c r="J157" s="45"/>
      <c r="K157" s="45"/>
      <c r="L157" s="45"/>
      <c r="M157" s="45"/>
      <c r="N157" s="45">
        <v>9</v>
      </c>
      <c r="O157" s="45"/>
      <c r="P157" s="45"/>
      <c r="Q157" s="45"/>
      <c r="R157" s="90"/>
    </row>
    <row r="158" spans="1:18" ht="30" x14ac:dyDescent="0.25">
      <c r="A158" s="105"/>
      <c r="B158" s="42" t="s">
        <v>151</v>
      </c>
      <c r="C158" s="43"/>
      <c r="D158" s="43"/>
      <c r="E158" s="43"/>
      <c r="F158" s="43"/>
      <c r="G158" s="43"/>
      <c r="H158" s="43"/>
      <c r="I158" s="43">
        <v>12</v>
      </c>
      <c r="J158" s="43"/>
      <c r="K158" s="43"/>
      <c r="L158" s="43"/>
      <c r="M158" s="43"/>
      <c r="N158" s="43"/>
      <c r="O158" s="43"/>
      <c r="P158" s="43"/>
      <c r="Q158" s="43"/>
      <c r="R158" s="89"/>
    </row>
    <row r="159" spans="1:18" ht="30" x14ac:dyDescent="0.25">
      <c r="A159" s="105"/>
      <c r="B159" s="44" t="s">
        <v>152</v>
      </c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90"/>
    </row>
    <row r="160" spans="1:18" x14ac:dyDescent="0.25">
      <c r="A160" s="105"/>
      <c r="B160" s="42" t="s">
        <v>153</v>
      </c>
      <c r="C160" s="43"/>
      <c r="D160" s="43"/>
      <c r="E160" s="43">
        <v>9</v>
      </c>
      <c r="F160" s="43"/>
      <c r="G160" s="43"/>
      <c r="H160" s="43"/>
      <c r="I160" s="43"/>
      <c r="J160" s="43"/>
      <c r="K160" s="43"/>
      <c r="L160" s="43"/>
      <c r="M160" s="43"/>
      <c r="N160" s="43">
        <v>5</v>
      </c>
      <c r="O160" s="43">
        <v>3</v>
      </c>
      <c r="P160" s="43"/>
      <c r="Q160" s="43"/>
      <c r="R160" s="89"/>
    </row>
    <row r="161" spans="1:18" x14ac:dyDescent="0.25">
      <c r="A161" s="105"/>
      <c r="B161" s="44" t="s">
        <v>154</v>
      </c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90"/>
    </row>
    <row r="162" spans="1:18" ht="30" x14ac:dyDescent="0.25">
      <c r="A162" s="105"/>
      <c r="B162" s="42" t="s">
        <v>155</v>
      </c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89"/>
    </row>
    <row r="163" spans="1:18" x14ac:dyDescent="0.25">
      <c r="A163" s="105"/>
      <c r="B163" s="44" t="s">
        <v>156</v>
      </c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90"/>
    </row>
    <row r="164" spans="1:18" x14ac:dyDescent="0.25">
      <c r="A164" s="105"/>
      <c r="B164" s="42" t="s">
        <v>157</v>
      </c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89"/>
    </row>
    <row r="165" spans="1:18" ht="30" x14ac:dyDescent="0.25">
      <c r="A165" s="105"/>
      <c r="B165" s="44" t="s">
        <v>158</v>
      </c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90"/>
    </row>
    <row r="166" spans="1:18" x14ac:dyDescent="0.25">
      <c r="A166" s="105"/>
      <c r="B166" s="42" t="s">
        <v>159</v>
      </c>
      <c r="C166" s="43"/>
      <c r="D166" s="43"/>
      <c r="E166" s="43">
        <v>12</v>
      </c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89"/>
    </row>
    <row r="167" spans="1:18" x14ac:dyDescent="0.25">
      <c r="A167" s="105"/>
      <c r="B167" s="44" t="s">
        <v>160</v>
      </c>
      <c r="C167" s="45"/>
      <c r="D167" s="45"/>
      <c r="E167" s="45">
        <v>12</v>
      </c>
      <c r="F167" s="45">
        <v>1</v>
      </c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90"/>
    </row>
    <row r="168" spans="1:18" ht="30" x14ac:dyDescent="0.25">
      <c r="A168" s="105"/>
      <c r="B168" s="42" t="s">
        <v>161</v>
      </c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89"/>
    </row>
    <row r="169" spans="1:18" x14ac:dyDescent="0.25">
      <c r="A169" s="105"/>
      <c r="B169" s="44" t="s">
        <v>162</v>
      </c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90"/>
    </row>
    <row r="170" spans="1:18" x14ac:dyDescent="0.25">
      <c r="A170" s="105"/>
      <c r="B170" s="42" t="s">
        <v>163</v>
      </c>
      <c r="C170" s="43"/>
      <c r="D170" s="43"/>
      <c r="E170" s="43">
        <v>9</v>
      </c>
      <c r="F170" s="43"/>
      <c r="G170" s="43"/>
      <c r="H170" s="43">
        <v>1</v>
      </c>
      <c r="I170" s="43"/>
      <c r="J170" s="43"/>
      <c r="K170" s="43"/>
      <c r="L170" s="43"/>
      <c r="M170" s="43"/>
      <c r="N170" s="43"/>
      <c r="O170" s="43">
        <v>1</v>
      </c>
      <c r="P170" s="43"/>
      <c r="Q170" s="43"/>
      <c r="R170" s="89"/>
    </row>
    <row r="171" spans="1:18" x14ac:dyDescent="0.25">
      <c r="A171" s="105"/>
      <c r="B171" s="44" t="s">
        <v>164</v>
      </c>
      <c r="C171" s="45"/>
      <c r="D171" s="45"/>
      <c r="E171" s="45">
        <v>9</v>
      </c>
      <c r="F171" s="45"/>
      <c r="G171" s="45"/>
      <c r="H171" s="45">
        <v>2</v>
      </c>
      <c r="I171" s="45"/>
      <c r="J171" s="45"/>
      <c r="K171" s="45"/>
      <c r="L171" s="45"/>
      <c r="M171" s="45"/>
      <c r="N171" s="45"/>
      <c r="O171" s="45">
        <v>1</v>
      </c>
      <c r="P171" s="45"/>
      <c r="Q171" s="45"/>
      <c r="R171" s="90"/>
    </row>
    <row r="172" spans="1:18" x14ac:dyDescent="0.25">
      <c r="A172" s="105"/>
      <c r="B172" s="42" t="s">
        <v>165</v>
      </c>
      <c r="C172" s="43"/>
      <c r="D172" s="43"/>
      <c r="E172" s="43"/>
      <c r="F172" s="43"/>
      <c r="G172" s="43"/>
      <c r="H172" s="43"/>
      <c r="I172" s="43"/>
      <c r="J172" s="43">
        <v>5</v>
      </c>
      <c r="K172" s="43"/>
      <c r="L172" s="43"/>
      <c r="M172" s="43"/>
      <c r="N172" s="43"/>
      <c r="O172" s="43">
        <v>2</v>
      </c>
      <c r="P172" s="43"/>
      <c r="Q172" s="43"/>
      <c r="R172" s="89"/>
    </row>
    <row r="173" spans="1:18" x14ac:dyDescent="0.25">
      <c r="A173" s="105"/>
      <c r="B173" s="44" t="s">
        <v>166</v>
      </c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90"/>
    </row>
    <row r="174" spans="1:18" x14ac:dyDescent="0.25">
      <c r="A174" s="105"/>
      <c r="B174" s="42" t="s">
        <v>167</v>
      </c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89"/>
    </row>
    <row r="175" spans="1:18" x14ac:dyDescent="0.25">
      <c r="A175" s="105"/>
      <c r="B175" s="44" t="s">
        <v>168</v>
      </c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90"/>
    </row>
    <row r="176" spans="1:18" x14ac:dyDescent="0.25">
      <c r="A176" s="106" t="s">
        <v>192</v>
      </c>
      <c r="B176" s="46" t="s">
        <v>169</v>
      </c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91"/>
    </row>
    <row r="177" spans="1:18" x14ac:dyDescent="0.25">
      <c r="A177" s="106"/>
      <c r="B177" s="48" t="s">
        <v>170</v>
      </c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92"/>
    </row>
    <row r="178" spans="1:18" x14ac:dyDescent="0.25">
      <c r="A178" s="106"/>
      <c r="B178" s="46" t="s">
        <v>171</v>
      </c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91"/>
    </row>
    <row r="179" spans="1:18" x14ac:dyDescent="0.25">
      <c r="A179" s="106"/>
      <c r="B179" s="48" t="s">
        <v>172</v>
      </c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92"/>
    </row>
    <row r="180" spans="1:18" x14ac:dyDescent="0.25">
      <c r="A180" s="106"/>
      <c r="B180" s="46" t="s">
        <v>173</v>
      </c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91"/>
    </row>
    <row r="181" spans="1:18" x14ac:dyDescent="0.25">
      <c r="A181" s="106"/>
      <c r="B181" s="48" t="s">
        <v>174</v>
      </c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92"/>
    </row>
    <row r="182" spans="1:18" x14ac:dyDescent="0.25">
      <c r="A182" s="107" t="s">
        <v>193</v>
      </c>
      <c r="B182" s="50" t="s">
        <v>175</v>
      </c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93"/>
    </row>
    <row r="183" spans="1:18" x14ac:dyDescent="0.25">
      <c r="A183" s="107"/>
      <c r="B183" s="52" t="s">
        <v>176</v>
      </c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>
        <v>2</v>
      </c>
      <c r="P183" s="53"/>
      <c r="Q183" s="53"/>
      <c r="R183" s="94"/>
    </row>
    <row r="184" spans="1:18" x14ac:dyDescent="0.25">
      <c r="A184" s="107"/>
      <c r="B184" s="50" t="s">
        <v>177</v>
      </c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>
        <v>1</v>
      </c>
      <c r="P184" s="51"/>
      <c r="Q184" s="51"/>
      <c r="R184" s="93"/>
    </row>
    <row r="185" spans="1:18" x14ac:dyDescent="0.25">
      <c r="A185" s="107"/>
      <c r="B185" s="52" t="s">
        <v>178</v>
      </c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>
        <v>2</v>
      </c>
      <c r="P185" s="53"/>
      <c r="Q185" s="53"/>
      <c r="R185" s="94"/>
    </row>
    <row r="186" spans="1:18" x14ac:dyDescent="0.25">
      <c r="A186" s="107"/>
      <c r="B186" s="50" t="s">
        <v>179</v>
      </c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93"/>
    </row>
    <row r="187" spans="1:18" ht="30" x14ac:dyDescent="0.25">
      <c r="A187" s="107"/>
      <c r="B187" s="52" t="s">
        <v>180</v>
      </c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94"/>
    </row>
    <row r="188" spans="1:18" ht="30.75" thickBot="1" x14ac:dyDescent="0.3">
      <c r="A188" s="108"/>
      <c r="B188" s="95" t="s">
        <v>181</v>
      </c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7"/>
    </row>
    <row r="189" spans="1:18" ht="15.75" thickTop="1" x14ac:dyDescent="0.25"/>
  </sheetData>
  <mergeCells count="14">
    <mergeCell ref="A140:A175"/>
    <mergeCell ref="A176:A181"/>
    <mergeCell ref="A182:A188"/>
    <mergeCell ref="A54:A69"/>
    <mergeCell ref="A70:A82"/>
    <mergeCell ref="A83:A91"/>
    <mergeCell ref="A92:A102"/>
    <mergeCell ref="A103:A110"/>
    <mergeCell ref="A111:A139"/>
    <mergeCell ref="A15:A26"/>
    <mergeCell ref="A27:A31"/>
    <mergeCell ref="A32:A41"/>
    <mergeCell ref="A42:A53"/>
    <mergeCell ref="A5:A14"/>
  </mergeCells>
  <conditionalFormatting sqref="C1">
    <cfRule type="expression" dxfId="143" priority="50">
      <formula>$C$3&gt;=7</formula>
    </cfRule>
    <cfRule type="expression" dxfId="142" priority="51">
      <formula>AND($C$3&gt;=6,$C$3&lt;7)</formula>
    </cfRule>
    <cfRule type="expression" dxfId="141" priority="52">
      <formula>$C$3&lt;6</formula>
    </cfRule>
  </conditionalFormatting>
  <conditionalFormatting sqref="D1">
    <cfRule type="expression" dxfId="140" priority="53">
      <formula>$D$3&gt;=7</formula>
    </cfRule>
    <cfRule type="expression" dxfId="139" priority="54">
      <formula>AND($D$3&gt;=6,$D$3&lt;7)</formula>
    </cfRule>
    <cfRule type="expression" dxfId="138" priority="55">
      <formula>$D$3&lt;6</formula>
    </cfRule>
  </conditionalFormatting>
  <conditionalFormatting sqref="E1">
    <cfRule type="expression" dxfId="137" priority="56">
      <formula>$E$3&gt;=7</formula>
    </cfRule>
    <cfRule type="expression" dxfId="136" priority="57">
      <formula>AND($E$3&gt;=6,$E$3&lt;7)</formula>
    </cfRule>
    <cfRule type="expression" dxfId="135" priority="58">
      <formula>$E$3&lt;6</formula>
    </cfRule>
  </conditionalFormatting>
  <conditionalFormatting sqref="F1">
    <cfRule type="expression" dxfId="134" priority="59">
      <formula>$F$3&gt;=7</formula>
    </cfRule>
    <cfRule type="expression" dxfId="133" priority="60">
      <formula>AND($F$3&gt;=6,$F$3&lt;7)</formula>
    </cfRule>
    <cfRule type="expression" dxfId="132" priority="61">
      <formula>$F$3&lt;6</formula>
    </cfRule>
  </conditionalFormatting>
  <conditionalFormatting sqref="G1">
    <cfRule type="expression" dxfId="131" priority="62">
      <formula>$G$3&gt;=7</formula>
    </cfRule>
    <cfRule type="expression" dxfId="130" priority="63">
      <formula>AND($G$3&gt;=6,$G$3&lt;7)</formula>
    </cfRule>
    <cfRule type="expression" dxfId="129" priority="64">
      <formula>$G$3&lt;6</formula>
    </cfRule>
  </conditionalFormatting>
  <conditionalFormatting sqref="H1">
    <cfRule type="expression" dxfId="128" priority="65">
      <formula>$H$3&gt;=7</formula>
    </cfRule>
    <cfRule type="expression" dxfId="127" priority="66">
      <formula>AND($H$3&gt;=6,$H$3&lt;7)</formula>
    </cfRule>
    <cfRule type="expression" dxfId="126" priority="67">
      <formula>$H$3&lt;6</formula>
    </cfRule>
  </conditionalFormatting>
  <conditionalFormatting sqref="I1">
    <cfRule type="expression" dxfId="125" priority="68">
      <formula>$I$3&gt;=7</formula>
    </cfRule>
    <cfRule type="expression" dxfId="124" priority="69">
      <formula>AND($I$3&gt;=6,$I$3&lt;7)</formula>
    </cfRule>
    <cfRule type="expression" dxfId="123" priority="70">
      <formula>$I$3&lt;6</formula>
    </cfRule>
  </conditionalFormatting>
  <conditionalFormatting sqref="J1">
    <cfRule type="expression" dxfId="122" priority="71">
      <formula>$J$3&gt;=7</formula>
    </cfRule>
    <cfRule type="expression" dxfId="121" priority="72">
      <formula>AND($J$3&gt;=6,$J$3&lt;7)</formula>
    </cfRule>
    <cfRule type="expression" dxfId="120" priority="73">
      <formula>$J$3&lt;6</formula>
    </cfRule>
  </conditionalFormatting>
  <conditionalFormatting sqref="K1">
    <cfRule type="expression" dxfId="119" priority="74">
      <formula>$K$3&gt;=7</formula>
    </cfRule>
    <cfRule type="expression" dxfId="118" priority="75">
      <formula>AND($K$3&gt;=6,$K$3&lt;7)</formula>
    </cfRule>
    <cfRule type="expression" dxfId="117" priority="76">
      <formula>$K$3&lt;6</formula>
    </cfRule>
  </conditionalFormatting>
  <conditionalFormatting sqref="L1">
    <cfRule type="expression" dxfId="116" priority="77">
      <formula>$L$3&gt;=7</formula>
    </cfRule>
    <cfRule type="expression" dxfId="115" priority="78">
      <formula>AND($L$3&gt;=6,$L$3&lt;7)</formula>
    </cfRule>
    <cfRule type="expression" dxfId="114" priority="79">
      <formula>$L$3&lt;6</formula>
    </cfRule>
  </conditionalFormatting>
  <conditionalFormatting sqref="M1">
    <cfRule type="expression" dxfId="113" priority="80">
      <formula>$M$3&gt;=7</formula>
    </cfRule>
    <cfRule type="expression" dxfId="112" priority="81">
      <formula>AND($M$3&gt;=6,$M$3&lt;7)</formula>
    </cfRule>
    <cfRule type="expression" dxfId="111" priority="82">
      <formula>$M$3&lt;6</formula>
    </cfRule>
  </conditionalFormatting>
  <conditionalFormatting sqref="N1">
    <cfRule type="expression" dxfId="110" priority="83">
      <formula>$N$3&gt;=7</formula>
    </cfRule>
    <cfRule type="expression" dxfId="109" priority="84">
      <formula>AND($N$3&gt;=6,$N$3&lt;7)</formula>
    </cfRule>
    <cfRule type="expression" dxfId="108" priority="85">
      <formula>$N$3&lt;6</formula>
    </cfRule>
  </conditionalFormatting>
  <conditionalFormatting sqref="O1">
    <cfRule type="expression" dxfId="107" priority="86">
      <formula>$O$3&gt;=7</formula>
    </cfRule>
    <cfRule type="expression" dxfId="106" priority="87">
      <formula>AND($O$3&gt;=6,$O$3&lt;7)</formula>
    </cfRule>
    <cfRule type="expression" dxfId="105" priority="88">
      <formula>$O$3&lt;6</formula>
    </cfRule>
  </conditionalFormatting>
  <conditionalFormatting sqref="P1">
    <cfRule type="expression" dxfId="104" priority="89">
      <formula>$P$3&gt;=7</formula>
    </cfRule>
    <cfRule type="expression" dxfId="103" priority="90">
      <formula>AND($P$3&gt;=6,$C$3&lt;7)</formula>
    </cfRule>
    <cfRule type="expression" dxfId="102" priority="91">
      <formula>$P$3&lt;6</formula>
    </cfRule>
  </conditionalFormatting>
  <conditionalFormatting sqref="Q1">
    <cfRule type="expression" dxfId="101" priority="92">
      <formula>$Q$3&gt;=7</formula>
    </cfRule>
    <cfRule type="expression" dxfId="100" priority="93">
      <formula>AND($Q$3&gt;=6,$Q$3&lt;7)</formula>
    </cfRule>
    <cfRule type="expression" dxfId="99" priority="94">
      <formula>$Q$3&lt;6</formula>
    </cfRule>
  </conditionalFormatting>
  <conditionalFormatting sqref="R1">
    <cfRule type="expression" dxfId="98" priority="95">
      <formula>$R$3&gt;=7</formula>
    </cfRule>
    <cfRule type="expression" dxfId="97" priority="96">
      <formula>AND($R$3&gt;=6,$R$3&lt;7)</formula>
    </cfRule>
    <cfRule type="expression" dxfId="96" priority="97">
      <formula>$R$3&lt;6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6D8C-6B18-4BA4-87BA-36AF27D1E223}">
  <dimension ref="A1:R189"/>
  <sheetViews>
    <sheetView tabSelected="1" workbookViewId="0">
      <selection activeCell="P5" sqref="P5"/>
    </sheetView>
  </sheetViews>
  <sheetFormatPr defaultRowHeight="15" x14ac:dyDescent="0.25"/>
  <cols>
    <col min="1" max="1" width="3.7109375" bestFit="1" customWidth="1"/>
    <col min="2" max="2" width="61.5703125" customWidth="1"/>
    <col min="3" max="3" width="9.28515625" bestFit="1" customWidth="1"/>
    <col min="4" max="4" width="15.42578125" bestFit="1" customWidth="1"/>
    <col min="5" max="5" width="9.28515625" bestFit="1" customWidth="1"/>
    <col min="6" max="6" width="9.140625" bestFit="1" customWidth="1"/>
    <col min="7" max="7" width="10.28515625" customWidth="1"/>
    <col min="8" max="8" width="10.85546875" bestFit="1" customWidth="1"/>
    <col min="9" max="9" width="9.28515625" customWidth="1"/>
    <col min="10" max="10" width="8.85546875" bestFit="1" customWidth="1"/>
    <col min="11" max="11" width="11.140625" bestFit="1" customWidth="1"/>
    <col min="12" max="12" width="7.42578125" bestFit="1" customWidth="1"/>
    <col min="13" max="13" width="9" bestFit="1" customWidth="1"/>
    <col min="14" max="14" width="11.7109375" bestFit="1" customWidth="1"/>
    <col min="15" max="18" width="9.5703125" bestFit="1" customWidth="1"/>
  </cols>
  <sheetData>
    <row r="1" spans="1:18" ht="48" customHeight="1" x14ac:dyDescent="0.25">
      <c r="C1" s="5" t="s">
        <v>197</v>
      </c>
      <c r="D1" s="5" t="s">
        <v>198</v>
      </c>
      <c r="E1" s="5" t="s">
        <v>199</v>
      </c>
      <c r="F1" s="5" t="s">
        <v>200</v>
      </c>
      <c r="G1" s="5" t="s">
        <v>201</v>
      </c>
      <c r="H1" s="5" t="s">
        <v>202</v>
      </c>
      <c r="I1" s="5" t="s">
        <v>203</v>
      </c>
      <c r="J1" s="5" t="s">
        <v>204</v>
      </c>
      <c r="K1" s="5" t="s">
        <v>205</v>
      </c>
      <c r="L1" s="5" t="s">
        <v>206</v>
      </c>
      <c r="M1" s="5" t="s">
        <v>207</v>
      </c>
      <c r="N1" s="5" t="s">
        <v>208</v>
      </c>
      <c r="O1" s="5" t="s">
        <v>207</v>
      </c>
      <c r="P1" s="5" t="s">
        <v>0</v>
      </c>
      <c r="Q1" s="5" t="s">
        <v>0</v>
      </c>
      <c r="R1" s="5" t="s">
        <v>0</v>
      </c>
    </row>
    <row r="2" spans="1:18" x14ac:dyDescent="0.25">
      <c r="B2" s="54" t="s">
        <v>194</v>
      </c>
      <c r="C2" s="55">
        <f t="shared" ref="C2:R2" si="0">COUNTIF(C5:C188, "&lt;&gt;")</f>
        <v>18</v>
      </c>
      <c r="D2" s="55">
        <f t="shared" si="0"/>
        <v>0</v>
      </c>
      <c r="E2" s="55">
        <f t="shared" si="0"/>
        <v>64</v>
      </c>
      <c r="F2" s="55">
        <f t="shared" si="0"/>
        <v>55</v>
      </c>
      <c r="G2" s="55">
        <f t="shared" si="0"/>
        <v>0</v>
      </c>
      <c r="H2" s="55">
        <f t="shared" si="0"/>
        <v>61</v>
      </c>
      <c r="I2" s="55">
        <f t="shared" si="0"/>
        <v>27</v>
      </c>
      <c r="J2" s="55">
        <f t="shared" si="0"/>
        <v>45</v>
      </c>
      <c r="K2" s="55">
        <f t="shared" si="0"/>
        <v>35</v>
      </c>
      <c r="L2" s="55">
        <f t="shared" si="0"/>
        <v>0</v>
      </c>
      <c r="M2" s="55">
        <f t="shared" si="0"/>
        <v>0</v>
      </c>
      <c r="N2" s="55">
        <f t="shared" si="0"/>
        <v>37</v>
      </c>
      <c r="O2" s="55">
        <f t="shared" si="0"/>
        <v>24</v>
      </c>
      <c r="P2" s="55">
        <f t="shared" si="0"/>
        <v>0</v>
      </c>
      <c r="Q2" s="55">
        <f t="shared" si="0"/>
        <v>0</v>
      </c>
      <c r="R2" s="55">
        <f t="shared" si="0"/>
        <v>0</v>
      </c>
    </row>
    <row r="3" spans="1:18" x14ac:dyDescent="0.25">
      <c r="B3" s="56" t="s">
        <v>195</v>
      </c>
      <c r="C3" s="57">
        <f t="shared" ref="C3:R3" si="1">IF(C2&lt;&gt;0,SUMIF(C5:C188, "&lt;&gt;")/C2,1)</f>
        <v>2.6666666666666665</v>
      </c>
      <c r="D3" s="57">
        <f t="shared" si="1"/>
        <v>1</v>
      </c>
      <c r="E3" s="57">
        <f t="shared" si="1"/>
        <v>10.5625</v>
      </c>
      <c r="F3" s="57">
        <f t="shared" si="1"/>
        <v>10.290909090909091</v>
      </c>
      <c r="G3" s="57">
        <f t="shared" si="1"/>
        <v>1</v>
      </c>
      <c r="H3" s="57">
        <f t="shared" si="1"/>
        <v>10.934426229508198</v>
      </c>
      <c r="I3" s="57">
        <f t="shared" si="1"/>
        <v>7.8888888888888893</v>
      </c>
      <c r="J3" s="57">
        <f t="shared" si="1"/>
        <v>8.3333333333333339</v>
      </c>
      <c r="K3" s="57">
        <f t="shared" si="1"/>
        <v>8.4285714285714288</v>
      </c>
      <c r="L3" s="57">
        <f t="shared" si="1"/>
        <v>1</v>
      </c>
      <c r="M3" s="57">
        <f t="shared" si="1"/>
        <v>1</v>
      </c>
      <c r="N3" s="57">
        <f t="shared" si="1"/>
        <v>7.6216216216216219</v>
      </c>
      <c r="O3" s="57">
        <f t="shared" si="1"/>
        <v>2.5</v>
      </c>
      <c r="P3" s="57">
        <f t="shared" si="1"/>
        <v>1</v>
      </c>
      <c r="Q3" s="57">
        <f t="shared" si="1"/>
        <v>1</v>
      </c>
      <c r="R3" s="57">
        <f t="shared" si="1"/>
        <v>1</v>
      </c>
    </row>
    <row r="4" spans="1:18" ht="15.75" thickBot="1" x14ac:dyDescent="0.3">
      <c r="B4" s="62" t="s">
        <v>196</v>
      </c>
      <c r="C4" s="63">
        <f t="shared" ref="C4:R4" si="2">IF(C2&lt;&gt;0,COUNTIF(C5:C188,"&gt;=7")/C2,0)</f>
        <v>0.1111111111111111</v>
      </c>
      <c r="D4" s="63">
        <f t="shared" si="2"/>
        <v>0</v>
      </c>
      <c r="E4" s="63">
        <f t="shared" si="2"/>
        <v>0.953125</v>
      </c>
      <c r="F4" s="63">
        <f t="shared" si="2"/>
        <v>0.90909090909090906</v>
      </c>
      <c r="G4" s="63">
        <f t="shared" si="2"/>
        <v>0</v>
      </c>
      <c r="H4" s="63">
        <f t="shared" si="2"/>
        <v>0.98360655737704916</v>
      </c>
      <c r="I4" s="63">
        <f t="shared" si="2"/>
        <v>0.66666666666666663</v>
      </c>
      <c r="J4" s="63">
        <f t="shared" si="2"/>
        <v>0.77777777777777779</v>
      </c>
      <c r="K4" s="63">
        <f t="shared" si="2"/>
        <v>0.77142857142857146</v>
      </c>
      <c r="L4" s="63">
        <f t="shared" si="2"/>
        <v>0</v>
      </c>
      <c r="M4" s="63">
        <f t="shared" si="2"/>
        <v>0</v>
      </c>
      <c r="N4" s="63">
        <f t="shared" si="2"/>
        <v>0.67567567567567566</v>
      </c>
      <c r="O4" s="63">
        <f t="shared" si="2"/>
        <v>4.1666666666666664E-2</v>
      </c>
      <c r="P4" s="63">
        <f t="shared" si="2"/>
        <v>0</v>
      </c>
      <c r="Q4" s="63">
        <f t="shared" si="2"/>
        <v>0</v>
      </c>
      <c r="R4" s="63">
        <f t="shared" si="2"/>
        <v>0</v>
      </c>
    </row>
    <row r="5" spans="1:18" ht="15.75" customHeight="1" thickTop="1" x14ac:dyDescent="0.25">
      <c r="A5" s="102" t="s">
        <v>1</v>
      </c>
      <c r="B5" s="64" t="s">
        <v>2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6"/>
    </row>
    <row r="6" spans="1:18" x14ac:dyDescent="0.25">
      <c r="A6" s="103"/>
      <c r="B6" s="60" t="s">
        <v>3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7"/>
    </row>
    <row r="7" spans="1:18" x14ac:dyDescent="0.25">
      <c r="A7" s="103"/>
      <c r="B7" s="58" t="s">
        <v>4</v>
      </c>
      <c r="C7" s="59"/>
      <c r="D7" s="59"/>
      <c r="E7" s="59"/>
      <c r="F7" s="59">
        <v>9</v>
      </c>
      <c r="G7" s="59"/>
      <c r="H7" s="59"/>
      <c r="I7" s="59">
        <v>12</v>
      </c>
      <c r="J7" s="59">
        <v>12</v>
      </c>
      <c r="K7" s="59"/>
      <c r="L7" s="59"/>
      <c r="M7" s="59"/>
      <c r="N7" s="59">
        <v>9</v>
      </c>
      <c r="O7" s="59">
        <v>3</v>
      </c>
      <c r="P7" s="59"/>
      <c r="Q7" s="59"/>
      <c r="R7" s="68"/>
    </row>
    <row r="8" spans="1:18" x14ac:dyDescent="0.25">
      <c r="A8" s="103"/>
      <c r="B8" s="60" t="s">
        <v>5</v>
      </c>
      <c r="C8" s="61"/>
      <c r="D8" s="61"/>
      <c r="E8" s="61"/>
      <c r="F8" s="61"/>
      <c r="G8" s="61"/>
      <c r="H8" s="61">
        <v>12</v>
      </c>
      <c r="I8" s="61"/>
      <c r="J8" s="61"/>
      <c r="K8" s="61"/>
      <c r="L8" s="61"/>
      <c r="M8" s="61"/>
      <c r="N8" s="61"/>
      <c r="O8" s="61"/>
      <c r="P8" s="61"/>
      <c r="Q8" s="61"/>
      <c r="R8" s="67"/>
    </row>
    <row r="9" spans="1:18" x14ac:dyDescent="0.25">
      <c r="A9" s="103"/>
      <c r="B9" s="58" t="s">
        <v>6</v>
      </c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68"/>
    </row>
    <row r="10" spans="1:18" x14ac:dyDescent="0.25">
      <c r="A10" s="103"/>
      <c r="B10" s="60" t="s">
        <v>35</v>
      </c>
      <c r="C10" s="61">
        <v>8</v>
      </c>
      <c r="D10" s="61"/>
      <c r="E10" s="61">
        <v>12</v>
      </c>
      <c r="F10" s="61">
        <v>8</v>
      </c>
      <c r="G10" s="61"/>
      <c r="H10" s="61">
        <v>12</v>
      </c>
      <c r="I10" s="61">
        <v>9</v>
      </c>
      <c r="J10" s="61">
        <v>12</v>
      </c>
      <c r="K10" s="61"/>
      <c r="L10" s="61"/>
      <c r="M10" s="61"/>
      <c r="N10" s="61">
        <v>9</v>
      </c>
      <c r="O10" s="61">
        <v>7</v>
      </c>
      <c r="P10" s="61"/>
      <c r="Q10" s="61"/>
      <c r="R10" s="67"/>
    </row>
    <row r="11" spans="1:18" x14ac:dyDescent="0.25">
      <c r="A11" s="103"/>
      <c r="B11" s="58" t="s">
        <v>209</v>
      </c>
      <c r="C11" s="59"/>
      <c r="D11" s="59"/>
      <c r="E11" s="59">
        <v>7</v>
      </c>
      <c r="F11" s="59">
        <v>12</v>
      </c>
      <c r="G11" s="59"/>
      <c r="H11" s="59">
        <v>12</v>
      </c>
      <c r="I11" s="59"/>
      <c r="J11" s="59">
        <v>9</v>
      </c>
      <c r="K11" s="59"/>
      <c r="L11" s="59"/>
      <c r="M11" s="59"/>
      <c r="N11" s="59"/>
      <c r="O11" s="59"/>
      <c r="P11" s="59"/>
      <c r="Q11" s="59"/>
      <c r="R11" s="68"/>
    </row>
    <row r="12" spans="1:18" x14ac:dyDescent="0.25">
      <c r="A12" s="103"/>
      <c r="B12" s="60" t="s">
        <v>210</v>
      </c>
      <c r="C12" s="61">
        <v>3</v>
      </c>
      <c r="D12" s="61"/>
      <c r="E12" s="61">
        <v>11</v>
      </c>
      <c r="F12" s="61">
        <v>12</v>
      </c>
      <c r="G12" s="61"/>
      <c r="H12" s="61">
        <v>12</v>
      </c>
      <c r="I12" s="61">
        <v>11</v>
      </c>
      <c r="J12" s="61"/>
      <c r="K12" s="61">
        <v>11</v>
      </c>
      <c r="L12" s="61"/>
      <c r="M12" s="61"/>
      <c r="N12" s="61">
        <v>8</v>
      </c>
      <c r="O12" s="61"/>
      <c r="P12" s="61"/>
      <c r="Q12" s="61"/>
      <c r="R12" s="67"/>
    </row>
    <row r="13" spans="1:18" x14ac:dyDescent="0.25">
      <c r="A13" s="103"/>
      <c r="B13" s="58" t="s">
        <v>211</v>
      </c>
      <c r="C13" s="59"/>
      <c r="D13" s="59"/>
      <c r="E13" s="59">
        <v>12</v>
      </c>
      <c r="F13" s="59">
        <v>12</v>
      </c>
      <c r="G13" s="59"/>
      <c r="H13" s="59">
        <v>12</v>
      </c>
      <c r="I13" s="59"/>
      <c r="J13" s="59">
        <v>9</v>
      </c>
      <c r="K13" s="59">
        <v>12</v>
      </c>
      <c r="L13" s="59"/>
      <c r="M13" s="59"/>
      <c r="N13" s="59"/>
      <c r="O13" s="59"/>
      <c r="P13" s="59"/>
      <c r="Q13" s="59"/>
      <c r="R13" s="68"/>
    </row>
    <row r="14" spans="1:18" x14ac:dyDescent="0.25">
      <c r="A14" s="104"/>
      <c r="B14" s="60" t="s">
        <v>212</v>
      </c>
      <c r="C14" s="61">
        <v>3</v>
      </c>
      <c r="D14" s="61"/>
      <c r="E14" s="61">
        <v>11</v>
      </c>
      <c r="F14" s="61">
        <v>12</v>
      </c>
      <c r="G14" s="61"/>
      <c r="H14" s="61">
        <v>12</v>
      </c>
      <c r="I14" s="61"/>
      <c r="J14" s="61"/>
      <c r="K14" s="61">
        <v>12</v>
      </c>
      <c r="L14" s="61"/>
      <c r="M14" s="61"/>
      <c r="N14" s="61"/>
      <c r="O14" s="61"/>
      <c r="P14" s="61"/>
      <c r="Q14" s="61"/>
      <c r="R14" s="67"/>
    </row>
    <row r="15" spans="1:18" ht="15" customHeight="1" x14ac:dyDescent="0.25">
      <c r="A15" s="98" t="s">
        <v>7</v>
      </c>
      <c r="B15" s="1" t="s">
        <v>8</v>
      </c>
      <c r="C15" s="2"/>
      <c r="D15" s="2"/>
      <c r="E15" s="2"/>
      <c r="F15" s="2"/>
      <c r="G15" s="2"/>
      <c r="H15" s="2"/>
      <c r="I15" s="2"/>
      <c r="J15" s="2">
        <v>9</v>
      </c>
      <c r="K15" s="2">
        <v>12</v>
      </c>
      <c r="L15" s="2"/>
      <c r="M15" s="2"/>
      <c r="N15" s="2"/>
      <c r="O15" s="2"/>
      <c r="P15" s="2"/>
      <c r="Q15" s="2"/>
      <c r="R15" s="69"/>
    </row>
    <row r="16" spans="1:18" x14ac:dyDescent="0.25">
      <c r="A16" s="98"/>
      <c r="B16" s="3" t="s">
        <v>9</v>
      </c>
      <c r="C16" s="4"/>
      <c r="D16" s="4"/>
      <c r="E16" s="4"/>
      <c r="F16" s="4">
        <v>12</v>
      </c>
      <c r="G16" s="4"/>
      <c r="H16" s="4"/>
      <c r="I16" s="4"/>
      <c r="J16" s="4">
        <v>7</v>
      </c>
      <c r="K16" s="4">
        <v>12</v>
      </c>
      <c r="L16" s="4"/>
      <c r="M16" s="4"/>
      <c r="N16" s="4">
        <v>3</v>
      </c>
      <c r="O16" s="4"/>
      <c r="P16" s="4"/>
      <c r="Q16" s="4"/>
      <c r="R16" s="70"/>
    </row>
    <row r="17" spans="1:18" x14ac:dyDescent="0.25">
      <c r="A17" s="98"/>
      <c r="B17" s="1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69"/>
    </row>
    <row r="18" spans="1:18" x14ac:dyDescent="0.25">
      <c r="A18" s="98"/>
      <c r="B18" s="3" t="s">
        <v>11</v>
      </c>
      <c r="C18" s="4"/>
      <c r="D18" s="4"/>
      <c r="E18" s="4"/>
      <c r="F18" s="4"/>
      <c r="G18" s="4"/>
      <c r="H18" s="4">
        <v>12</v>
      </c>
      <c r="I18" s="4"/>
      <c r="J18" s="4"/>
      <c r="K18" s="4"/>
      <c r="L18" s="4"/>
      <c r="M18" s="4"/>
      <c r="N18" s="4">
        <v>3</v>
      </c>
      <c r="O18" s="4">
        <v>2</v>
      </c>
      <c r="P18" s="4"/>
      <c r="Q18" s="4"/>
      <c r="R18" s="70"/>
    </row>
    <row r="19" spans="1:18" x14ac:dyDescent="0.25">
      <c r="A19" s="98"/>
      <c r="B19" s="1" t="s">
        <v>12</v>
      </c>
      <c r="C19" s="2"/>
      <c r="D19" s="2"/>
      <c r="E19" s="2">
        <v>12</v>
      </c>
      <c r="F19" s="2"/>
      <c r="G19" s="2"/>
      <c r="H19" s="2"/>
      <c r="I19" s="2"/>
      <c r="J19" s="2"/>
      <c r="K19" s="2">
        <v>12</v>
      </c>
      <c r="L19" s="2"/>
      <c r="M19" s="2"/>
      <c r="N19" s="2">
        <v>3</v>
      </c>
      <c r="O19" s="2">
        <v>2</v>
      </c>
      <c r="P19" s="2"/>
      <c r="Q19" s="2"/>
      <c r="R19" s="69"/>
    </row>
    <row r="20" spans="1:18" x14ac:dyDescent="0.25">
      <c r="A20" s="98"/>
      <c r="B20" s="3" t="s">
        <v>13</v>
      </c>
      <c r="C20" s="4">
        <v>3</v>
      </c>
      <c r="D20" s="4"/>
      <c r="E20" s="4">
        <v>12</v>
      </c>
      <c r="F20" s="4">
        <v>12</v>
      </c>
      <c r="G20" s="4"/>
      <c r="H20" s="4">
        <v>9</v>
      </c>
      <c r="I20" s="4"/>
      <c r="J20" s="4"/>
      <c r="K20" s="4"/>
      <c r="L20" s="4"/>
      <c r="M20" s="4"/>
      <c r="N20" s="4"/>
      <c r="O20" s="4"/>
      <c r="P20" s="4"/>
      <c r="Q20" s="4"/>
      <c r="R20" s="70"/>
    </row>
    <row r="21" spans="1:18" x14ac:dyDescent="0.25">
      <c r="A21" s="98"/>
      <c r="B21" s="1" t="s">
        <v>14</v>
      </c>
      <c r="C21" s="2"/>
      <c r="D21" s="2"/>
      <c r="E21" s="2">
        <v>12</v>
      </c>
      <c r="F21" s="2">
        <v>12</v>
      </c>
      <c r="G21" s="2"/>
      <c r="H21" s="2">
        <v>9</v>
      </c>
      <c r="I21" s="2"/>
      <c r="J21" s="2"/>
      <c r="K21" s="2">
        <v>12</v>
      </c>
      <c r="L21" s="2"/>
      <c r="M21" s="2"/>
      <c r="N21" s="2"/>
      <c r="O21" s="2"/>
      <c r="P21" s="2"/>
      <c r="Q21" s="2"/>
      <c r="R21" s="69"/>
    </row>
    <row r="22" spans="1:18" x14ac:dyDescent="0.25">
      <c r="A22" s="98"/>
      <c r="B22" s="3" t="s">
        <v>15</v>
      </c>
      <c r="C22" s="4">
        <v>2</v>
      </c>
      <c r="D22" s="4"/>
      <c r="E22" s="4">
        <v>12</v>
      </c>
      <c r="F22" s="4">
        <v>12</v>
      </c>
      <c r="G22" s="4"/>
      <c r="H22" s="4">
        <v>9</v>
      </c>
      <c r="I22" s="4"/>
      <c r="J22" s="4">
        <v>9</v>
      </c>
      <c r="K22" s="4"/>
      <c r="L22" s="4"/>
      <c r="M22" s="4"/>
      <c r="N22" s="4"/>
      <c r="O22" s="4"/>
      <c r="P22" s="4"/>
      <c r="Q22" s="4"/>
      <c r="R22" s="70"/>
    </row>
    <row r="23" spans="1:18" x14ac:dyDescent="0.25">
      <c r="A23" s="98"/>
      <c r="B23" s="1" t="s">
        <v>16</v>
      </c>
      <c r="C23" s="2"/>
      <c r="D23" s="2"/>
      <c r="E23" s="2"/>
      <c r="F23" s="2">
        <v>12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69"/>
    </row>
    <row r="24" spans="1:18" x14ac:dyDescent="0.25">
      <c r="A24" s="98"/>
      <c r="B24" s="3" t="s">
        <v>17</v>
      </c>
      <c r="C24" s="4"/>
      <c r="D24" s="4"/>
      <c r="E24" s="4">
        <v>12</v>
      </c>
      <c r="F24" s="4">
        <v>12</v>
      </c>
      <c r="G24" s="4"/>
      <c r="H24" s="4">
        <v>12</v>
      </c>
      <c r="I24" s="4"/>
      <c r="J24" s="4"/>
      <c r="K24" s="4"/>
      <c r="L24" s="4"/>
      <c r="M24" s="4"/>
      <c r="N24" s="4"/>
      <c r="O24" s="4"/>
      <c r="P24" s="4"/>
      <c r="Q24" s="4"/>
      <c r="R24" s="70"/>
    </row>
    <row r="25" spans="1:18" x14ac:dyDescent="0.25">
      <c r="A25" s="98"/>
      <c r="B25" s="1" t="s">
        <v>18</v>
      </c>
      <c r="C25" s="2"/>
      <c r="D25" s="2"/>
      <c r="E25" s="2"/>
      <c r="F25" s="2">
        <v>12</v>
      </c>
      <c r="G25" s="2"/>
      <c r="H25" s="2">
        <v>12</v>
      </c>
      <c r="I25" s="2"/>
      <c r="J25" s="2">
        <v>12</v>
      </c>
      <c r="K25" s="2"/>
      <c r="L25" s="2"/>
      <c r="M25" s="2"/>
      <c r="N25" s="2"/>
      <c r="O25" s="2"/>
      <c r="P25" s="2"/>
      <c r="Q25" s="2"/>
      <c r="R25" s="69"/>
    </row>
    <row r="26" spans="1:18" x14ac:dyDescent="0.25">
      <c r="A26" s="98"/>
      <c r="B26" s="3" t="s">
        <v>19</v>
      </c>
      <c r="C26" s="4"/>
      <c r="D26" s="4"/>
      <c r="E26" s="4">
        <v>12</v>
      </c>
      <c r="F26" s="4">
        <v>12</v>
      </c>
      <c r="G26" s="4"/>
      <c r="H26" s="4">
        <v>6</v>
      </c>
      <c r="I26" s="4"/>
      <c r="J26" s="4"/>
      <c r="K26" s="4">
        <v>12</v>
      </c>
      <c r="L26" s="4"/>
      <c r="M26" s="4"/>
      <c r="N26" s="4"/>
      <c r="O26" s="4"/>
      <c r="P26" s="4"/>
      <c r="Q26" s="4"/>
      <c r="R26" s="70"/>
    </row>
    <row r="27" spans="1:18" ht="15" customHeight="1" x14ac:dyDescent="0.25">
      <c r="A27" s="99" t="s">
        <v>182</v>
      </c>
      <c r="B27" s="6" t="s">
        <v>20</v>
      </c>
      <c r="C27" s="7">
        <v>2</v>
      </c>
      <c r="D27" s="7"/>
      <c r="E27" s="7">
        <v>12</v>
      </c>
      <c r="F27" s="7">
        <v>12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1"/>
    </row>
    <row r="28" spans="1:18" x14ac:dyDescent="0.25">
      <c r="A28" s="99"/>
      <c r="B28" s="8" t="s">
        <v>21</v>
      </c>
      <c r="C28" s="9"/>
      <c r="D28" s="9"/>
      <c r="E28" s="9">
        <v>12</v>
      </c>
      <c r="F28" s="9">
        <v>12</v>
      </c>
      <c r="G28" s="9"/>
      <c r="H28" s="9">
        <v>12</v>
      </c>
      <c r="I28" s="9"/>
      <c r="J28" s="9"/>
      <c r="K28" s="9"/>
      <c r="L28" s="9"/>
      <c r="M28" s="9"/>
      <c r="N28" s="9"/>
      <c r="O28" s="9">
        <v>2</v>
      </c>
      <c r="P28" s="9"/>
      <c r="Q28" s="9"/>
      <c r="R28" s="72"/>
    </row>
    <row r="29" spans="1:18" x14ac:dyDescent="0.25">
      <c r="A29" s="99"/>
      <c r="B29" s="6" t="s">
        <v>22</v>
      </c>
      <c r="C29" s="7"/>
      <c r="D29" s="7"/>
      <c r="E29" s="7">
        <v>12</v>
      </c>
      <c r="F29" s="7">
        <v>12</v>
      </c>
      <c r="G29" s="7"/>
      <c r="H29" s="7">
        <v>12</v>
      </c>
      <c r="I29" s="7"/>
      <c r="J29" s="7"/>
      <c r="K29" s="7">
        <v>12</v>
      </c>
      <c r="L29" s="7"/>
      <c r="M29" s="7"/>
      <c r="N29" s="7"/>
      <c r="O29" s="7">
        <v>2</v>
      </c>
      <c r="P29" s="7"/>
      <c r="Q29" s="7"/>
      <c r="R29" s="71"/>
    </row>
    <row r="30" spans="1:18" x14ac:dyDescent="0.25">
      <c r="A30" s="99"/>
      <c r="B30" s="8" t="s">
        <v>23</v>
      </c>
      <c r="C30" s="9"/>
      <c r="D30" s="9"/>
      <c r="E30" s="9">
        <v>12</v>
      </c>
      <c r="F30" s="9">
        <v>4</v>
      </c>
      <c r="G30" s="9"/>
      <c r="H30" s="9">
        <v>12</v>
      </c>
      <c r="I30" s="9"/>
      <c r="J30" s="9">
        <v>12</v>
      </c>
      <c r="K30" s="9">
        <v>12</v>
      </c>
      <c r="L30" s="9"/>
      <c r="M30" s="9"/>
      <c r="N30" s="9"/>
      <c r="O30" s="9">
        <v>5</v>
      </c>
      <c r="P30" s="9"/>
      <c r="Q30" s="9"/>
      <c r="R30" s="72"/>
    </row>
    <row r="31" spans="1:18" x14ac:dyDescent="0.25">
      <c r="A31" s="99"/>
      <c r="B31" s="6" t="s">
        <v>24</v>
      </c>
      <c r="C31" s="7"/>
      <c r="D31" s="7"/>
      <c r="E31" s="7">
        <v>12</v>
      </c>
      <c r="F31" s="7"/>
      <c r="G31" s="7"/>
      <c r="H31" s="7"/>
      <c r="I31" s="7"/>
      <c r="J31" s="7">
        <v>7</v>
      </c>
      <c r="K31" s="7">
        <v>12</v>
      </c>
      <c r="L31" s="7"/>
      <c r="M31" s="7"/>
      <c r="N31" s="7">
        <v>7</v>
      </c>
      <c r="O31" s="7"/>
      <c r="P31" s="7"/>
      <c r="Q31" s="7"/>
      <c r="R31" s="71"/>
    </row>
    <row r="32" spans="1:18" ht="15" customHeight="1" x14ac:dyDescent="0.25">
      <c r="A32" s="100" t="s">
        <v>183</v>
      </c>
      <c r="B32" s="24" t="s">
        <v>25</v>
      </c>
      <c r="C32" s="25">
        <v>2</v>
      </c>
      <c r="D32" s="25"/>
      <c r="E32" s="25">
        <v>12</v>
      </c>
      <c r="F32" s="25">
        <v>12</v>
      </c>
      <c r="G32" s="25"/>
      <c r="H32" s="25">
        <v>12</v>
      </c>
      <c r="I32" s="25"/>
      <c r="J32" s="25">
        <v>9</v>
      </c>
      <c r="K32" s="25"/>
      <c r="L32" s="25"/>
      <c r="M32" s="25"/>
      <c r="N32" s="25">
        <v>12</v>
      </c>
      <c r="O32" s="25">
        <v>2</v>
      </c>
      <c r="P32" s="25"/>
      <c r="Q32" s="25"/>
      <c r="R32" s="73"/>
    </row>
    <row r="33" spans="1:18" x14ac:dyDescent="0.25">
      <c r="A33" s="100"/>
      <c r="B33" s="12" t="s">
        <v>26</v>
      </c>
      <c r="C33" s="13"/>
      <c r="D33" s="13"/>
      <c r="E33" s="13">
        <v>12</v>
      </c>
      <c r="F33" s="13"/>
      <c r="G33" s="13"/>
      <c r="H33" s="13"/>
      <c r="I33" s="13"/>
      <c r="J33" s="13"/>
      <c r="K33" s="13"/>
      <c r="L33" s="13"/>
      <c r="M33" s="13"/>
      <c r="N33" s="13">
        <v>7</v>
      </c>
      <c r="O33" s="13"/>
      <c r="P33" s="13"/>
      <c r="Q33" s="13"/>
      <c r="R33" s="74"/>
    </row>
    <row r="34" spans="1:18" x14ac:dyDescent="0.25">
      <c r="A34" s="100"/>
      <c r="B34" s="24" t="s">
        <v>27</v>
      </c>
      <c r="C34" s="25"/>
      <c r="D34" s="25"/>
      <c r="E34" s="25"/>
      <c r="F34" s="25"/>
      <c r="G34" s="25"/>
      <c r="H34" s="25">
        <v>12</v>
      </c>
      <c r="I34" s="25"/>
      <c r="J34" s="25">
        <v>7</v>
      </c>
      <c r="K34" s="25"/>
      <c r="L34" s="25"/>
      <c r="M34" s="25"/>
      <c r="N34" s="25">
        <v>9</v>
      </c>
      <c r="O34" s="25"/>
      <c r="P34" s="25"/>
      <c r="Q34" s="25"/>
      <c r="R34" s="73"/>
    </row>
    <row r="35" spans="1:18" x14ac:dyDescent="0.25">
      <c r="A35" s="100"/>
      <c r="B35" s="12" t="s">
        <v>28</v>
      </c>
      <c r="C35" s="13"/>
      <c r="D35" s="13"/>
      <c r="E35" s="13">
        <v>12</v>
      </c>
      <c r="F35" s="13">
        <v>12</v>
      </c>
      <c r="G35" s="13"/>
      <c r="H35" s="13">
        <v>12</v>
      </c>
      <c r="I35" s="13"/>
      <c r="J35" s="13"/>
      <c r="K35" s="13"/>
      <c r="L35" s="13"/>
      <c r="M35" s="13"/>
      <c r="N35" s="13"/>
      <c r="O35" s="13"/>
      <c r="P35" s="13"/>
      <c r="Q35" s="13"/>
      <c r="R35" s="74"/>
    </row>
    <row r="36" spans="1:18" x14ac:dyDescent="0.25">
      <c r="A36" s="100"/>
      <c r="B36" s="24" t="s">
        <v>29</v>
      </c>
      <c r="C36" s="25"/>
      <c r="D36" s="25"/>
      <c r="E36" s="25">
        <v>12</v>
      </c>
      <c r="F36" s="25"/>
      <c r="G36" s="25"/>
      <c r="H36" s="25">
        <v>9</v>
      </c>
      <c r="I36" s="25"/>
      <c r="J36" s="25"/>
      <c r="K36" s="25"/>
      <c r="L36" s="25"/>
      <c r="M36" s="25"/>
      <c r="N36" s="25"/>
      <c r="O36" s="25"/>
      <c r="P36" s="25"/>
      <c r="Q36" s="25"/>
      <c r="R36" s="73"/>
    </row>
    <row r="37" spans="1:18" x14ac:dyDescent="0.25">
      <c r="A37" s="100"/>
      <c r="B37" s="12" t="s">
        <v>30</v>
      </c>
      <c r="C37" s="13"/>
      <c r="D37" s="13"/>
      <c r="E37" s="13"/>
      <c r="F37" s="13">
        <v>12</v>
      </c>
      <c r="G37" s="13"/>
      <c r="H37" s="13">
        <v>12</v>
      </c>
      <c r="I37" s="13"/>
      <c r="J37" s="13"/>
      <c r="K37" s="13"/>
      <c r="L37" s="13"/>
      <c r="M37" s="13"/>
      <c r="N37" s="13">
        <v>12</v>
      </c>
      <c r="O37" s="13"/>
      <c r="P37" s="13"/>
      <c r="Q37" s="13"/>
      <c r="R37" s="74"/>
    </row>
    <row r="38" spans="1:18" x14ac:dyDescent="0.25">
      <c r="A38" s="100"/>
      <c r="B38" s="24" t="s">
        <v>31</v>
      </c>
      <c r="C38" s="25"/>
      <c r="D38" s="25"/>
      <c r="E38" s="25"/>
      <c r="F38" s="25">
        <v>12</v>
      </c>
      <c r="G38" s="25"/>
      <c r="H38" s="25"/>
      <c r="I38" s="25"/>
      <c r="J38" s="25">
        <v>12</v>
      </c>
      <c r="K38" s="25"/>
      <c r="L38" s="25"/>
      <c r="M38" s="25"/>
      <c r="N38" s="25"/>
      <c r="O38" s="25"/>
      <c r="P38" s="25"/>
      <c r="Q38" s="25"/>
      <c r="R38" s="73"/>
    </row>
    <row r="39" spans="1:18" x14ac:dyDescent="0.25">
      <c r="A39" s="100"/>
      <c r="B39" s="12" t="s">
        <v>32</v>
      </c>
      <c r="C39" s="13"/>
      <c r="D39" s="13"/>
      <c r="E39" s="13"/>
      <c r="F39" s="13">
        <v>12</v>
      </c>
      <c r="G39" s="13"/>
      <c r="H39" s="13"/>
      <c r="I39" s="13"/>
      <c r="J39" s="13"/>
      <c r="K39" s="13"/>
      <c r="L39" s="13"/>
      <c r="M39" s="13"/>
      <c r="N39" s="13">
        <v>7</v>
      </c>
      <c r="O39" s="13"/>
      <c r="P39" s="13"/>
      <c r="Q39" s="13"/>
      <c r="R39" s="74"/>
    </row>
    <row r="40" spans="1:18" x14ac:dyDescent="0.25">
      <c r="A40" s="100"/>
      <c r="B40" s="24" t="s">
        <v>33</v>
      </c>
      <c r="C40" s="25"/>
      <c r="D40" s="25"/>
      <c r="E40" s="25">
        <v>12</v>
      </c>
      <c r="F40" s="25">
        <v>12</v>
      </c>
      <c r="G40" s="25"/>
      <c r="H40" s="25">
        <v>12</v>
      </c>
      <c r="I40" s="25"/>
      <c r="J40" s="25">
        <v>12</v>
      </c>
      <c r="K40" s="25"/>
      <c r="L40" s="25"/>
      <c r="M40" s="25"/>
      <c r="N40" s="25">
        <v>12</v>
      </c>
      <c r="O40" s="25"/>
      <c r="P40" s="25"/>
      <c r="Q40" s="25"/>
      <c r="R40" s="73"/>
    </row>
    <row r="41" spans="1:18" x14ac:dyDescent="0.25">
      <c r="A41" s="100"/>
      <c r="B41" s="12" t="s">
        <v>34</v>
      </c>
      <c r="C41" s="13"/>
      <c r="D41" s="13"/>
      <c r="E41" s="13"/>
      <c r="F41" s="13"/>
      <c r="G41" s="13"/>
      <c r="H41" s="13"/>
      <c r="I41" s="13"/>
      <c r="J41" s="13">
        <v>7</v>
      </c>
      <c r="K41" s="13"/>
      <c r="L41" s="13"/>
      <c r="M41" s="13"/>
      <c r="N41" s="13"/>
      <c r="O41" s="13"/>
      <c r="P41" s="13"/>
      <c r="Q41" s="13"/>
      <c r="R41" s="74"/>
    </row>
    <row r="42" spans="1:18" ht="15" customHeight="1" x14ac:dyDescent="0.25">
      <c r="A42" s="101" t="s">
        <v>184</v>
      </c>
      <c r="B42" s="14" t="s">
        <v>36</v>
      </c>
      <c r="C42" s="15">
        <v>3</v>
      </c>
      <c r="D42" s="15"/>
      <c r="E42" s="15">
        <v>12</v>
      </c>
      <c r="F42" s="15">
        <v>12</v>
      </c>
      <c r="G42" s="15"/>
      <c r="H42" s="15">
        <v>10</v>
      </c>
      <c r="I42" s="15">
        <v>12</v>
      </c>
      <c r="J42" s="15">
        <v>8</v>
      </c>
      <c r="K42" s="15"/>
      <c r="L42" s="15"/>
      <c r="M42" s="15"/>
      <c r="N42" s="15"/>
      <c r="O42" s="15"/>
      <c r="P42" s="15"/>
      <c r="Q42" s="15"/>
      <c r="R42" s="75"/>
    </row>
    <row r="43" spans="1:18" x14ac:dyDescent="0.25">
      <c r="A43" s="101"/>
      <c r="B43" s="16" t="s">
        <v>37</v>
      </c>
      <c r="C43" s="17"/>
      <c r="D43" s="17"/>
      <c r="E43" s="17"/>
      <c r="F43" s="17">
        <v>12</v>
      </c>
      <c r="G43" s="17"/>
      <c r="H43" s="17">
        <v>10</v>
      </c>
      <c r="I43" s="17">
        <v>9</v>
      </c>
      <c r="J43" s="17"/>
      <c r="K43" s="17"/>
      <c r="L43" s="17"/>
      <c r="M43" s="17"/>
      <c r="N43" s="17"/>
      <c r="O43" s="17"/>
      <c r="P43" s="17"/>
      <c r="Q43" s="17"/>
      <c r="R43" s="76"/>
    </row>
    <row r="44" spans="1:18" x14ac:dyDescent="0.25">
      <c r="A44" s="101"/>
      <c r="B44" s="14" t="s">
        <v>38</v>
      </c>
      <c r="C44" s="15"/>
      <c r="D44" s="15"/>
      <c r="E44" s="15"/>
      <c r="F44" s="15">
        <v>12</v>
      </c>
      <c r="G44" s="15"/>
      <c r="H44" s="15">
        <v>12</v>
      </c>
      <c r="I44" s="15"/>
      <c r="J44" s="15"/>
      <c r="K44" s="15"/>
      <c r="L44" s="15"/>
      <c r="M44" s="15"/>
      <c r="N44" s="15"/>
      <c r="O44" s="15"/>
      <c r="P44" s="15"/>
      <c r="Q44" s="15"/>
      <c r="R44" s="75"/>
    </row>
    <row r="45" spans="1:18" ht="30" x14ac:dyDescent="0.25">
      <c r="A45" s="101"/>
      <c r="B45" s="16" t="s">
        <v>39</v>
      </c>
      <c r="C45" s="17"/>
      <c r="D45" s="17"/>
      <c r="E45" s="17">
        <v>12</v>
      </c>
      <c r="F45" s="17"/>
      <c r="G45" s="17"/>
      <c r="H45" s="17">
        <v>12</v>
      </c>
      <c r="I45" s="17"/>
      <c r="J45" s="17">
        <v>9</v>
      </c>
      <c r="K45" s="17">
        <v>12</v>
      </c>
      <c r="L45" s="17"/>
      <c r="M45" s="17"/>
      <c r="N45" s="17">
        <v>9</v>
      </c>
      <c r="O45" s="17"/>
      <c r="P45" s="17"/>
      <c r="Q45" s="17"/>
      <c r="R45" s="76"/>
    </row>
    <row r="46" spans="1:18" ht="30" x14ac:dyDescent="0.25">
      <c r="A46" s="101"/>
      <c r="B46" s="14" t="s">
        <v>40</v>
      </c>
      <c r="C46" s="15"/>
      <c r="D46" s="15"/>
      <c r="E46" s="15">
        <v>12</v>
      </c>
      <c r="F46" s="15">
        <v>12</v>
      </c>
      <c r="G46" s="15"/>
      <c r="H46" s="15">
        <v>12</v>
      </c>
      <c r="I46" s="15"/>
      <c r="J46" s="15"/>
      <c r="K46" s="15"/>
      <c r="L46" s="15"/>
      <c r="M46" s="15"/>
      <c r="N46" s="15"/>
      <c r="O46" s="15"/>
      <c r="P46" s="15"/>
      <c r="Q46" s="15"/>
      <c r="R46" s="75"/>
    </row>
    <row r="47" spans="1:18" x14ac:dyDescent="0.25">
      <c r="A47" s="101"/>
      <c r="B47" s="16" t="s">
        <v>213</v>
      </c>
      <c r="C47" s="17"/>
      <c r="D47" s="17"/>
      <c r="E47" s="17">
        <v>12</v>
      </c>
      <c r="F47" s="17">
        <v>12</v>
      </c>
      <c r="G47" s="17"/>
      <c r="H47" s="17">
        <v>12</v>
      </c>
      <c r="I47" s="17"/>
      <c r="J47" s="17"/>
      <c r="K47" s="17"/>
      <c r="L47" s="17"/>
      <c r="M47" s="17"/>
      <c r="N47" s="17">
        <v>9</v>
      </c>
      <c r="O47" s="17"/>
      <c r="P47" s="17"/>
      <c r="Q47" s="17"/>
      <c r="R47" s="76"/>
    </row>
    <row r="48" spans="1:18" x14ac:dyDescent="0.25">
      <c r="A48" s="101"/>
      <c r="B48" s="14" t="s">
        <v>41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75"/>
    </row>
    <row r="49" spans="1:18" ht="30" x14ac:dyDescent="0.25">
      <c r="A49" s="101"/>
      <c r="B49" s="16" t="s">
        <v>42</v>
      </c>
      <c r="C49" s="17"/>
      <c r="D49" s="17"/>
      <c r="E49" s="17"/>
      <c r="F49" s="17"/>
      <c r="G49" s="17"/>
      <c r="H49" s="17"/>
      <c r="I49" s="17"/>
      <c r="J49" s="17">
        <v>12</v>
      </c>
      <c r="K49" s="17"/>
      <c r="L49" s="17"/>
      <c r="M49" s="17"/>
      <c r="N49" s="17"/>
      <c r="O49" s="17"/>
      <c r="P49" s="17"/>
      <c r="Q49" s="17"/>
      <c r="R49" s="76"/>
    </row>
    <row r="50" spans="1:18" x14ac:dyDescent="0.25">
      <c r="A50" s="101"/>
      <c r="B50" s="14" t="s">
        <v>43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75"/>
    </row>
    <row r="51" spans="1:18" ht="30" x14ac:dyDescent="0.25">
      <c r="A51" s="101"/>
      <c r="B51" s="16" t="s">
        <v>44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76"/>
    </row>
    <row r="52" spans="1:18" x14ac:dyDescent="0.25">
      <c r="A52" s="101"/>
      <c r="B52" s="14" t="s">
        <v>45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75"/>
    </row>
    <row r="53" spans="1:18" x14ac:dyDescent="0.25">
      <c r="A53" s="101"/>
      <c r="B53" s="16" t="s">
        <v>46</v>
      </c>
      <c r="C53" s="17"/>
      <c r="D53" s="17"/>
      <c r="E53" s="17">
        <v>12</v>
      </c>
      <c r="F53" s="17"/>
      <c r="G53" s="17"/>
      <c r="H53" s="17">
        <v>10</v>
      </c>
      <c r="I53" s="17"/>
      <c r="J53" s="17"/>
      <c r="K53" s="17"/>
      <c r="L53" s="17"/>
      <c r="M53" s="17"/>
      <c r="N53" s="17"/>
      <c r="O53" s="17"/>
      <c r="P53" s="17"/>
      <c r="Q53" s="17"/>
      <c r="R53" s="76"/>
    </row>
    <row r="54" spans="1:18" ht="15" customHeight="1" x14ac:dyDescent="0.25">
      <c r="A54" s="109" t="s">
        <v>185</v>
      </c>
      <c r="B54" s="18" t="s">
        <v>47</v>
      </c>
      <c r="C54" s="19"/>
      <c r="D54" s="19"/>
      <c r="E54" s="19">
        <v>11</v>
      </c>
      <c r="F54" s="19">
        <v>12</v>
      </c>
      <c r="G54" s="19"/>
      <c r="H54" s="19">
        <v>12</v>
      </c>
      <c r="I54" s="19"/>
      <c r="J54" s="19"/>
      <c r="K54" s="19">
        <v>7</v>
      </c>
      <c r="L54" s="19"/>
      <c r="M54" s="19"/>
      <c r="N54" s="19">
        <v>12</v>
      </c>
      <c r="O54" s="19">
        <v>5</v>
      </c>
      <c r="P54" s="19"/>
      <c r="Q54" s="19"/>
      <c r="R54" s="77"/>
    </row>
    <row r="55" spans="1:18" x14ac:dyDescent="0.25">
      <c r="A55" s="109"/>
      <c r="B55" s="20" t="s">
        <v>48</v>
      </c>
      <c r="C55" s="21"/>
      <c r="D55" s="21"/>
      <c r="E55" s="21"/>
      <c r="F55" s="21"/>
      <c r="G55" s="21"/>
      <c r="H55" s="21">
        <v>12</v>
      </c>
      <c r="I55" s="21"/>
      <c r="J55" s="21"/>
      <c r="K55" s="21"/>
      <c r="L55" s="21"/>
      <c r="M55" s="21"/>
      <c r="N55" s="21">
        <v>9</v>
      </c>
      <c r="O55" s="21"/>
      <c r="P55" s="21"/>
      <c r="Q55" s="21"/>
      <c r="R55" s="78"/>
    </row>
    <row r="56" spans="1:18" x14ac:dyDescent="0.25">
      <c r="A56" s="109"/>
      <c r="B56" s="18" t="s">
        <v>49</v>
      </c>
      <c r="C56" s="19">
        <v>2</v>
      </c>
      <c r="D56" s="19"/>
      <c r="E56" s="19">
        <v>12</v>
      </c>
      <c r="F56" s="19">
        <v>12</v>
      </c>
      <c r="G56" s="19"/>
      <c r="H56" s="19">
        <v>12</v>
      </c>
      <c r="I56" s="19"/>
      <c r="J56" s="19"/>
      <c r="K56" s="19"/>
      <c r="L56" s="19"/>
      <c r="M56" s="19"/>
      <c r="N56" s="19"/>
      <c r="O56" s="19"/>
      <c r="P56" s="19"/>
      <c r="Q56" s="19"/>
      <c r="R56" s="77"/>
    </row>
    <row r="57" spans="1:18" ht="30" x14ac:dyDescent="0.25">
      <c r="A57" s="109"/>
      <c r="B57" s="20" t="s">
        <v>50</v>
      </c>
      <c r="C57" s="21"/>
      <c r="D57" s="21"/>
      <c r="E57" s="21">
        <v>11</v>
      </c>
      <c r="F57" s="21"/>
      <c r="G57" s="21"/>
      <c r="H57" s="21">
        <v>12</v>
      </c>
      <c r="I57" s="21"/>
      <c r="J57" s="21"/>
      <c r="K57" s="21"/>
      <c r="L57" s="21"/>
      <c r="M57" s="21"/>
      <c r="N57" s="21"/>
      <c r="O57" s="21"/>
      <c r="P57" s="21"/>
      <c r="Q57" s="21"/>
      <c r="R57" s="78"/>
    </row>
    <row r="58" spans="1:18" ht="30" x14ac:dyDescent="0.25">
      <c r="A58" s="109"/>
      <c r="B58" s="18" t="s">
        <v>51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>
        <v>11</v>
      </c>
      <c r="O58" s="19"/>
      <c r="P58" s="19"/>
      <c r="Q58" s="19"/>
      <c r="R58" s="77"/>
    </row>
    <row r="59" spans="1:18" x14ac:dyDescent="0.25">
      <c r="A59" s="109"/>
      <c r="B59" s="20" t="s">
        <v>52</v>
      </c>
      <c r="C59" s="21"/>
      <c r="D59" s="21"/>
      <c r="E59" s="21"/>
      <c r="F59" s="21">
        <v>12</v>
      </c>
      <c r="G59" s="21"/>
      <c r="H59" s="21">
        <v>12</v>
      </c>
      <c r="I59" s="21"/>
      <c r="J59" s="21"/>
      <c r="K59" s="21"/>
      <c r="L59" s="21"/>
      <c r="M59" s="21"/>
      <c r="N59" s="21"/>
      <c r="O59" s="21"/>
      <c r="P59" s="21"/>
      <c r="Q59" s="21"/>
      <c r="R59" s="78"/>
    </row>
    <row r="60" spans="1:18" x14ac:dyDescent="0.25">
      <c r="A60" s="109"/>
      <c r="B60" s="18" t="s">
        <v>53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77"/>
    </row>
    <row r="61" spans="1:18" x14ac:dyDescent="0.25">
      <c r="A61" s="109"/>
      <c r="B61" s="20" t="s">
        <v>54</v>
      </c>
      <c r="C61" s="21">
        <v>1</v>
      </c>
      <c r="D61" s="21"/>
      <c r="E61" s="21">
        <v>12</v>
      </c>
      <c r="F61" s="21">
        <v>12</v>
      </c>
      <c r="G61" s="21"/>
      <c r="H61" s="21">
        <v>12</v>
      </c>
      <c r="I61" s="21">
        <v>9</v>
      </c>
      <c r="J61" s="21"/>
      <c r="K61" s="21">
        <v>9</v>
      </c>
      <c r="L61" s="21"/>
      <c r="M61" s="21"/>
      <c r="N61" s="21">
        <v>12</v>
      </c>
      <c r="O61" s="21"/>
      <c r="P61" s="21"/>
      <c r="Q61" s="21"/>
      <c r="R61" s="78"/>
    </row>
    <row r="62" spans="1:18" x14ac:dyDescent="0.25">
      <c r="A62" s="109"/>
      <c r="B62" s="18" t="s">
        <v>55</v>
      </c>
      <c r="C62" s="19"/>
      <c r="D62" s="19"/>
      <c r="E62" s="19">
        <v>9</v>
      </c>
      <c r="F62" s="19">
        <v>7</v>
      </c>
      <c r="G62" s="19"/>
      <c r="H62" s="19">
        <v>12</v>
      </c>
      <c r="I62" s="19">
        <v>3</v>
      </c>
      <c r="J62" s="19"/>
      <c r="K62" s="19">
        <v>7</v>
      </c>
      <c r="L62" s="19"/>
      <c r="M62" s="19"/>
      <c r="N62" s="19"/>
      <c r="O62" s="19"/>
      <c r="P62" s="19"/>
      <c r="Q62" s="19"/>
      <c r="R62" s="77"/>
    </row>
    <row r="63" spans="1:18" x14ac:dyDescent="0.25">
      <c r="A63" s="109"/>
      <c r="B63" s="20" t="s">
        <v>56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78"/>
    </row>
    <row r="64" spans="1:18" x14ac:dyDescent="0.25">
      <c r="A64" s="109"/>
      <c r="B64" s="18" t="s">
        <v>57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77"/>
    </row>
    <row r="65" spans="1:18" x14ac:dyDescent="0.25">
      <c r="A65" s="109"/>
      <c r="B65" s="20" t="s">
        <v>58</v>
      </c>
      <c r="C65" s="21"/>
      <c r="D65" s="21"/>
      <c r="E65" s="21"/>
      <c r="F65" s="21"/>
      <c r="G65" s="21"/>
      <c r="H65" s="21"/>
      <c r="I65" s="21"/>
      <c r="J65" s="21"/>
      <c r="K65" s="21">
        <v>3</v>
      </c>
      <c r="L65" s="21"/>
      <c r="M65" s="21"/>
      <c r="N65" s="21">
        <v>9</v>
      </c>
      <c r="O65" s="21"/>
      <c r="P65" s="21"/>
      <c r="Q65" s="21"/>
      <c r="R65" s="78"/>
    </row>
    <row r="66" spans="1:18" x14ac:dyDescent="0.25">
      <c r="A66" s="109"/>
      <c r="B66" s="18" t="s">
        <v>59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77"/>
    </row>
    <row r="67" spans="1:18" ht="45" x14ac:dyDescent="0.25">
      <c r="A67" s="109"/>
      <c r="B67" s="20" t="s">
        <v>60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78"/>
    </row>
    <row r="68" spans="1:18" x14ac:dyDescent="0.25">
      <c r="A68" s="109"/>
      <c r="B68" s="18" t="s">
        <v>61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77"/>
    </row>
    <row r="69" spans="1:18" x14ac:dyDescent="0.25">
      <c r="A69" s="109"/>
      <c r="B69" s="20" t="s">
        <v>62</v>
      </c>
      <c r="C69" s="21"/>
      <c r="D69" s="21"/>
      <c r="E69" s="21">
        <v>12</v>
      </c>
      <c r="F69" s="21"/>
      <c r="G69" s="21"/>
      <c r="H69" s="21">
        <v>9</v>
      </c>
      <c r="I69" s="21"/>
      <c r="J69" s="21">
        <v>5</v>
      </c>
      <c r="K69" s="21"/>
      <c r="L69" s="21"/>
      <c r="M69" s="21"/>
      <c r="N69" s="21"/>
      <c r="O69" s="21"/>
      <c r="P69" s="21"/>
      <c r="Q69" s="21"/>
      <c r="R69" s="78"/>
    </row>
    <row r="70" spans="1:18" ht="15" customHeight="1" x14ac:dyDescent="0.25">
      <c r="A70" s="110" t="s">
        <v>186</v>
      </c>
      <c r="B70" s="22" t="s">
        <v>63</v>
      </c>
      <c r="C70" s="23">
        <v>9</v>
      </c>
      <c r="D70" s="23"/>
      <c r="E70" s="23"/>
      <c r="F70" s="23">
        <v>12</v>
      </c>
      <c r="G70" s="23"/>
      <c r="H70" s="23"/>
      <c r="I70" s="23">
        <v>3</v>
      </c>
      <c r="J70" s="23">
        <v>9</v>
      </c>
      <c r="K70" s="23">
        <v>10</v>
      </c>
      <c r="L70" s="23"/>
      <c r="M70" s="23"/>
      <c r="N70" s="23"/>
      <c r="O70" s="23">
        <v>2</v>
      </c>
      <c r="P70" s="23"/>
      <c r="Q70" s="23"/>
      <c r="R70" s="79"/>
    </row>
    <row r="71" spans="1:18" x14ac:dyDescent="0.25">
      <c r="A71" s="111"/>
      <c r="B71" s="10" t="s">
        <v>64</v>
      </c>
      <c r="C71" s="11"/>
      <c r="D71" s="11"/>
      <c r="E71" s="11"/>
      <c r="F71" s="11"/>
      <c r="G71" s="11"/>
      <c r="H71" s="11"/>
      <c r="I71" s="11"/>
      <c r="J71" s="11">
        <v>8</v>
      </c>
      <c r="K71" s="11">
        <v>9</v>
      </c>
      <c r="L71" s="11"/>
      <c r="M71" s="11"/>
      <c r="N71" s="11"/>
      <c r="O71" s="11"/>
      <c r="P71" s="11"/>
      <c r="Q71" s="11"/>
      <c r="R71" s="80"/>
    </row>
    <row r="72" spans="1:18" x14ac:dyDescent="0.25">
      <c r="A72" s="111"/>
      <c r="B72" s="22" t="s">
        <v>65</v>
      </c>
      <c r="C72" s="23"/>
      <c r="D72" s="23"/>
      <c r="E72" s="23">
        <v>12</v>
      </c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79"/>
    </row>
    <row r="73" spans="1:18" ht="30" x14ac:dyDescent="0.25">
      <c r="A73" s="111"/>
      <c r="B73" s="10" t="s">
        <v>66</v>
      </c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80"/>
    </row>
    <row r="74" spans="1:18" ht="30" x14ac:dyDescent="0.25">
      <c r="A74" s="111"/>
      <c r="B74" s="22" t="s">
        <v>67</v>
      </c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79"/>
    </row>
    <row r="75" spans="1:18" x14ac:dyDescent="0.25">
      <c r="A75" s="111"/>
      <c r="B75" s="10" t="s">
        <v>68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80"/>
    </row>
    <row r="76" spans="1:18" x14ac:dyDescent="0.25">
      <c r="A76" s="111"/>
      <c r="B76" s="22" t="s">
        <v>69</v>
      </c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79"/>
    </row>
    <row r="77" spans="1:18" x14ac:dyDescent="0.25">
      <c r="A77" s="111"/>
      <c r="B77" s="10" t="s">
        <v>70</v>
      </c>
      <c r="C77" s="11"/>
      <c r="D77" s="11"/>
      <c r="E77" s="11"/>
      <c r="F77" s="11"/>
      <c r="G77" s="11"/>
      <c r="H77" s="11">
        <v>12</v>
      </c>
      <c r="I77" s="11"/>
      <c r="J77" s="11">
        <v>1</v>
      </c>
      <c r="K77" s="11">
        <v>12</v>
      </c>
      <c r="L77" s="11"/>
      <c r="M77" s="11"/>
      <c r="N77" s="11"/>
      <c r="O77" s="11"/>
      <c r="P77" s="11"/>
      <c r="Q77" s="11"/>
      <c r="R77" s="80"/>
    </row>
    <row r="78" spans="1:18" x14ac:dyDescent="0.25">
      <c r="A78" s="111"/>
      <c r="B78" s="22" t="s">
        <v>71</v>
      </c>
      <c r="C78" s="23"/>
      <c r="D78" s="23"/>
      <c r="E78" s="23"/>
      <c r="F78" s="23"/>
      <c r="G78" s="23"/>
      <c r="H78" s="23">
        <v>12</v>
      </c>
      <c r="I78" s="23"/>
      <c r="J78" s="23">
        <v>1</v>
      </c>
      <c r="K78" s="23">
        <v>12</v>
      </c>
      <c r="L78" s="23"/>
      <c r="M78" s="23"/>
      <c r="N78" s="23"/>
      <c r="O78" s="23"/>
      <c r="P78" s="23"/>
      <c r="Q78" s="23"/>
      <c r="R78" s="79"/>
    </row>
    <row r="79" spans="1:18" x14ac:dyDescent="0.25">
      <c r="A79" s="111"/>
      <c r="B79" s="10" t="s">
        <v>72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80"/>
    </row>
    <row r="80" spans="1:18" x14ac:dyDescent="0.25">
      <c r="A80" s="111"/>
      <c r="B80" s="22" t="s">
        <v>73</v>
      </c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79"/>
    </row>
    <row r="81" spans="1:18" x14ac:dyDescent="0.25">
      <c r="A81" s="111"/>
      <c r="B81" s="10" t="s">
        <v>74</v>
      </c>
      <c r="C81" s="11"/>
      <c r="D81" s="11"/>
      <c r="E81" s="11">
        <v>1</v>
      </c>
      <c r="F81" s="11"/>
      <c r="G81" s="11"/>
      <c r="H81" s="11"/>
      <c r="I81" s="11"/>
      <c r="J81" s="11"/>
      <c r="K81" s="11">
        <v>11</v>
      </c>
      <c r="L81" s="11"/>
      <c r="M81" s="11"/>
      <c r="N81" s="11"/>
      <c r="O81" s="11"/>
      <c r="P81" s="11"/>
      <c r="Q81" s="11"/>
      <c r="R81" s="80"/>
    </row>
    <row r="82" spans="1:18" x14ac:dyDescent="0.25">
      <c r="A82" s="111"/>
      <c r="B82" s="22" t="s">
        <v>75</v>
      </c>
      <c r="C82" s="23"/>
      <c r="D82" s="23"/>
      <c r="E82" s="23"/>
      <c r="F82" s="23">
        <v>12</v>
      </c>
      <c r="G82" s="23"/>
      <c r="H82" s="23">
        <v>9</v>
      </c>
      <c r="I82" s="23"/>
      <c r="J82" s="23"/>
      <c r="K82" s="23"/>
      <c r="L82" s="23"/>
      <c r="M82" s="23"/>
      <c r="N82" s="23"/>
      <c r="O82" s="23"/>
      <c r="P82" s="23"/>
      <c r="Q82" s="23"/>
      <c r="R82" s="79"/>
    </row>
    <row r="83" spans="1:18" ht="15" customHeight="1" x14ac:dyDescent="0.25">
      <c r="A83" s="112" t="s">
        <v>187</v>
      </c>
      <c r="B83" s="34" t="s">
        <v>76</v>
      </c>
      <c r="C83" s="35"/>
      <c r="D83" s="35"/>
      <c r="E83" s="35"/>
      <c r="F83" s="35"/>
      <c r="G83" s="35"/>
      <c r="H83" s="35"/>
      <c r="I83" s="35">
        <v>4</v>
      </c>
      <c r="J83" s="35">
        <v>7</v>
      </c>
      <c r="K83" s="35"/>
      <c r="L83" s="35"/>
      <c r="M83" s="35"/>
      <c r="N83" s="35"/>
      <c r="O83" s="35"/>
      <c r="P83" s="35"/>
      <c r="Q83" s="35"/>
      <c r="R83" s="81"/>
    </row>
    <row r="84" spans="1:18" x14ac:dyDescent="0.25">
      <c r="A84" s="112"/>
      <c r="B84" s="36" t="s">
        <v>77</v>
      </c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82"/>
    </row>
    <row r="85" spans="1:18" x14ac:dyDescent="0.25">
      <c r="A85" s="112"/>
      <c r="B85" s="34" t="s">
        <v>78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81"/>
    </row>
    <row r="86" spans="1:18" x14ac:dyDescent="0.25">
      <c r="A86" s="112"/>
      <c r="B86" s="36" t="s">
        <v>79</v>
      </c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82"/>
    </row>
    <row r="87" spans="1:18" x14ac:dyDescent="0.25">
      <c r="A87" s="112"/>
      <c r="B87" s="34" t="s">
        <v>80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81"/>
    </row>
    <row r="88" spans="1:18" x14ac:dyDescent="0.25">
      <c r="A88" s="112"/>
      <c r="B88" s="36" t="s">
        <v>81</v>
      </c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82"/>
    </row>
    <row r="89" spans="1:18" x14ac:dyDescent="0.25">
      <c r="A89" s="112"/>
      <c r="B89" s="34" t="s">
        <v>82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81"/>
    </row>
    <row r="90" spans="1:18" x14ac:dyDescent="0.25">
      <c r="A90" s="112"/>
      <c r="B90" s="36" t="s">
        <v>83</v>
      </c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82"/>
    </row>
    <row r="91" spans="1:18" x14ac:dyDescent="0.25">
      <c r="A91" s="112"/>
      <c r="B91" s="34" t="s">
        <v>84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81"/>
    </row>
    <row r="92" spans="1:18" ht="15" customHeight="1" x14ac:dyDescent="0.25">
      <c r="A92" s="113" t="s">
        <v>188</v>
      </c>
      <c r="B92" s="26" t="s">
        <v>85</v>
      </c>
      <c r="C92" s="27"/>
      <c r="D92" s="27"/>
      <c r="E92" s="27">
        <v>12</v>
      </c>
      <c r="F92" s="27">
        <v>9</v>
      </c>
      <c r="G92" s="27"/>
      <c r="H92" s="27"/>
      <c r="I92" s="27"/>
      <c r="J92" s="27">
        <v>12</v>
      </c>
      <c r="K92" s="27"/>
      <c r="L92" s="27"/>
      <c r="M92" s="27"/>
      <c r="N92" s="27">
        <v>6</v>
      </c>
      <c r="O92" s="27"/>
      <c r="P92" s="27"/>
      <c r="Q92" s="27"/>
      <c r="R92" s="83"/>
    </row>
    <row r="93" spans="1:18" x14ac:dyDescent="0.25">
      <c r="A93" s="113"/>
      <c r="B93" s="28" t="s">
        <v>86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84"/>
    </row>
    <row r="94" spans="1:18" x14ac:dyDescent="0.25">
      <c r="A94" s="113"/>
      <c r="B94" s="26" t="s">
        <v>87</v>
      </c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83"/>
    </row>
    <row r="95" spans="1:18" x14ac:dyDescent="0.25">
      <c r="A95" s="113"/>
      <c r="B95" s="28" t="s">
        <v>88</v>
      </c>
      <c r="C95" s="29"/>
      <c r="D95" s="29"/>
      <c r="E95" s="29">
        <v>7</v>
      </c>
      <c r="F95" s="29"/>
      <c r="G95" s="29"/>
      <c r="H95" s="29"/>
      <c r="I95" s="29"/>
      <c r="J95" s="29"/>
      <c r="K95" s="29"/>
      <c r="L95" s="29"/>
      <c r="M95" s="29"/>
      <c r="N95" s="29">
        <v>1</v>
      </c>
      <c r="O95" s="29"/>
      <c r="P95" s="29"/>
      <c r="Q95" s="29"/>
      <c r="R95" s="84"/>
    </row>
    <row r="96" spans="1:18" x14ac:dyDescent="0.25">
      <c r="A96" s="113"/>
      <c r="B96" s="26" t="s">
        <v>89</v>
      </c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83"/>
    </row>
    <row r="97" spans="1:18" x14ac:dyDescent="0.25">
      <c r="A97" s="113"/>
      <c r="B97" s="28" t="s">
        <v>90</v>
      </c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84"/>
    </row>
    <row r="98" spans="1:18" x14ac:dyDescent="0.25">
      <c r="A98" s="113"/>
      <c r="B98" s="26" t="s">
        <v>91</v>
      </c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83"/>
    </row>
    <row r="99" spans="1:18" x14ac:dyDescent="0.25">
      <c r="A99" s="113"/>
      <c r="B99" s="28" t="s">
        <v>92</v>
      </c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84"/>
    </row>
    <row r="100" spans="1:18" x14ac:dyDescent="0.25">
      <c r="A100" s="113"/>
      <c r="B100" s="26" t="s">
        <v>93</v>
      </c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83"/>
    </row>
    <row r="101" spans="1:18" x14ac:dyDescent="0.25">
      <c r="A101" s="113"/>
      <c r="B101" s="28" t="s">
        <v>94</v>
      </c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84"/>
    </row>
    <row r="102" spans="1:18" x14ac:dyDescent="0.25">
      <c r="A102" s="113"/>
      <c r="B102" s="26" t="s">
        <v>95</v>
      </c>
      <c r="C102" s="27"/>
      <c r="D102" s="27"/>
      <c r="E102" s="27">
        <v>1</v>
      </c>
      <c r="F102" s="27"/>
      <c r="G102" s="27"/>
      <c r="H102" s="27"/>
      <c r="I102" s="27"/>
      <c r="J102" s="27">
        <v>5</v>
      </c>
      <c r="K102" s="27"/>
      <c r="L102" s="27"/>
      <c r="M102" s="27"/>
      <c r="N102" s="27"/>
      <c r="O102" s="27"/>
      <c r="P102" s="27"/>
      <c r="Q102" s="27"/>
      <c r="R102" s="83"/>
    </row>
    <row r="103" spans="1:18" ht="15" customHeight="1" x14ac:dyDescent="0.25">
      <c r="A103" s="114" t="s">
        <v>189</v>
      </c>
      <c r="B103" s="30" t="s">
        <v>96</v>
      </c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85"/>
    </row>
    <row r="104" spans="1:18" x14ac:dyDescent="0.25">
      <c r="A104" s="114"/>
      <c r="B104" s="32" t="s">
        <v>97</v>
      </c>
      <c r="C104" s="33"/>
      <c r="D104" s="33"/>
      <c r="E104" s="33">
        <v>12</v>
      </c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86"/>
    </row>
    <row r="105" spans="1:18" x14ac:dyDescent="0.25">
      <c r="A105" s="114"/>
      <c r="B105" s="30" t="s">
        <v>98</v>
      </c>
      <c r="C105" s="31"/>
      <c r="D105" s="31"/>
      <c r="E105" s="31">
        <v>9</v>
      </c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85"/>
    </row>
    <row r="106" spans="1:18" x14ac:dyDescent="0.25">
      <c r="A106" s="114"/>
      <c r="B106" s="32" t="s">
        <v>99</v>
      </c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86"/>
    </row>
    <row r="107" spans="1:18" ht="30" x14ac:dyDescent="0.25">
      <c r="A107" s="114"/>
      <c r="B107" s="30" t="s">
        <v>100</v>
      </c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85"/>
    </row>
    <row r="108" spans="1:18" ht="30" x14ac:dyDescent="0.25">
      <c r="A108" s="114"/>
      <c r="B108" s="32" t="s">
        <v>101</v>
      </c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86"/>
    </row>
    <row r="109" spans="1:18" x14ac:dyDescent="0.25">
      <c r="A109" s="114"/>
      <c r="B109" s="30" t="s">
        <v>102</v>
      </c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85"/>
    </row>
    <row r="110" spans="1:18" x14ac:dyDescent="0.25">
      <c r="A110" s="114"/>
      <c r="B110" s="32" t="s">
        <v>103</v>
      </c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86"/>
    </row>
    <row r="111" spans="1:18" ht="15" customHeight="1" x14ac:dyDescent="0.25">
      <c r="A111" s="115" t="s">
        <v>190</v>
      </c>
      <c r="B111" s="38" t="s">
        <v>104</v>
      </c>
      <c r="C111" s="39">
        <v>1</v>
      </c>
      <c r="D111" s="39"/>
      <c r="E111" s="39"/>
      <c r="F111" s="39">
        <v>10</v>
      </c>
      <c r="G111" s="39"/>
      <c r="H111" s="39">
        <v>12</v>
      </c>
      <c r="I111" s="39">
        <v>9</v>
      </c>
      <c r="J111" s="39"/>
      <c r="K111" s="39">
        <v>1</v>
      </c>
      <c r="L111" s="39"/>
      <c r="M111" s="39"/>
      <c r="N111" s="39">
        <v>5</v>
      </c>
      <c r="O111" s="39">
        <v>2</v>
      </c>
      <c r="P111" s="39"/>
      <c r="Q111" s="39"/>
      <c r="R111" s="87"/>
    </row>
    <row r="112" spans="1:18" x14ac:dyDescent="0.25">
      <c r="A112" s="115"/>
      <c r="B112" s="40" t="s">
        <v>105</v>
      </c>
      <c r="C112" s="41">
        <v>1</v>
      </c>
      <c r="D112" s="41"/>
      <c r="E112" s="41"/>
      <c r="F112" s="41">
        <v>12</v>
      </c>
      <c r="G112" s="41"/>
      <c r="H112" s="41">
        <v>12</v>
      </c>
      <c r="I112" s="41">
        <v>12</v>
      </c>
      <c r="J112" s="41"/>
      <c r="K112" s="41">
        <v>9</v>
      </c>
      <c r="L112" s="41"/>
      <c r="M112" s="41"/>
      <c r="N112" s="41">
        <v>5</v>
      </c>
      <c r="O112" s="41">
        <v>5</v>
      </c>
      <c r="P112" s="41"/>
      <c r="Q112" s="41"/>
      <c r="R112" s="88"/>
    </row>
    <row r="113" spans="1:18" x14ac:dyDescent="0.25">
      <c r="A113" s="115"/>
      <c r="B113" s="38" t="s">
        <v>106</v>
      </c>
      <c r="C113" s="39"/>
      <c r="D113" s="39"/>
      <c r="E113" s="39">
        <v>9</v>
      </c>
      <c r="F113" s="39">
        <v>10</v>
      </c>
      <c r="G113" s="39"/>
      <c r="H113" s="39">
        <v>12</v>
      </c>
      <c r="I113" s="39">
        <v>12</v>
      </c>
      <c r="J113" s="39">
        <v>12</v>
      </c>
      <c r="K113" s="39"/>
      <c r="L113" s="39"/>
      <c r="M113" s="39"/>
      <c r="N113" s="39"/>
      <c r="O113" s="39"/>
      <c r="P113" s="39"/>
      <c r="Q113" s="39"/>
      <c r="R113" s="87"/>
    </row>
    <row r="114" spans="1:18" x14ac:dyDescent="0.25">
      <c r="A114" s="115"/>
      <c r="B114" s="40" t="s">
        <v>107</v>
      </c>
      <c r="C114" s="41"/>
      <c r="D114" s="41"/>
      <c r="E114" s="41">
        <v>12</v>
      </c>
      <c r="F114" s="41">
        <v>1</v>
      </c>
      <c r="G114" s="41"/>
      <c r="H114" s="41">
        <v>12</v>
      </c>
      <c r="I114" s="41">
        <v>1</v>
      </c>
      <c r="J114" s="41"/>
      <c r="K114" s="41">
        <v>1</v>
      </c>
      <c r="L114" s="41"/>
      <c r="M114" s="41"/>
      <c r="N114" s="41">
        <v>10</v>
      </c>
      <c r="O114" s="41"/>
      <c r="P114" s="41"/>
      <c r="Q114" s="41"/>
      <c r="R114" s="88"/>
    </row>
    <row r="115" spans="1:18" x14ac:dyDescent="0.25">
      <c r="A115" s="115"/>
      <c r="B115" s="38" t="s">
        <v>108</v>
      </c>
      <c r="C115" s="39"/>
      <c r="D115" s="39"/>
      <c r="E115" s="39">
        <v>12</v>
      </c>
      <c r="F115" s="39">
        <v>1</v>
      </c>
      <c r="G115" s="39"/>
      <c r="H115" s="39">
        <v>12</v>
      </c>
      <c r="I115" s="39">
        <v>1</v>
      </c>
      <c r="J115" s="39"/>
      <c r="K115" s="39">
        <v>1</v>
      </c>
      <c r="L115" s="39"/>
      <c r="M115" s="39"/>
      <c r="N115" s="39">
        <v>8</v>
      </c>
      <c r="O115" s="39"/>
      <c r="P115" s="39"/>
      <c r="Q115" s="39"/>
      <c r="R115" s="87"/>
    </row>
    <row r="116" spans="1:18" x14ac:dyDescent="0.25">
      <c r="A116" s="115"/>
      <c r="B116" s="40" t="s">
        <v>109</v>
      </c>
      <c r="C116" s="41"/>
      <c r="D116" s="41"/>
      <c r="E116" s="41">
        <v>9</v>
      </c>
      <c r="F116" s="41">
        <v>12</v>
      </c>
      <c r="G116" s="41"/>
      <c r="H116" s="41">
        <v>12</v>
      </c>
      <c r="I116" s="41">
        <v>12</v>
      </c>
      <c r="J116" s="41">
        <v>1</v>
      </c>
      <c r="K116" s="41"/>
      <c r="L116" s="41"/>
      <c r="M116" s="41"/>
      <c r="N116" s="41">
        <v>3</v>
      </c>
      <c r="O116" s="41">
        <v>2</v>
      </c>
      <c r="P116" s="41"/>
      <c r="Q116" s="41"/>
      <c r="R116" s="88"/>
    </row>
    <row r="117" spans="1:18" ht="30" x14ac:dyDescent="0.25">
      <c r="A117" s="115"/>
      <c r="B117" s="38" t="s">
        <v>110</v>
      </c>
      <c r="C117" s="39"/>
      <c r="D117" s="39"/>
      <c r="E117" s="39">
        <v>12</v>
      </c>
      <c r="F117" s="39">
        <v>9</v>
      </c>
      <c r="G117" s="39"/>
      <c r="H117" s="39">
        <v>12</v>
      </c>
      <c r="I117" s="39"/>
      <c r="J117" s="39">
        <v>3</v>
      </c>
      <c r="K117" s="39"/>
      <c r="L117" s="39"/>
      <c r="M117" s="39"/>
      <c r="N117" s="39"/>
      <c r="O117" s="39"/>
      <c r="P117" s="39"/>
      <c r="Q117" s="39"/>
      <c r="R117" s="87"/>
    </row>
    <row r="118" spans="1:18" ht="30" x14ac:dyDescent="0.25">
      <c r="A118" s="115"/>
      <c r="B118" s="40" t="s">
        <v>111</v>
      </c>
      <c r="C118" s="41"/>
      <c r="D118" s="41"/>
      <c r="E118" s="41">
        <v>12</v>
      </c>
      <c r="F118" s="41">
        <v>9</v>
      </c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88"/>
    </row>
    <row r="119" spans="1:18" x14ac:dyDescent="0.25">
      <c r="A119" s="115"/>
      <c r="B119" s="38" t="s">
        <v>112</v>
      </c>
      <c r="C119" s="39"/>
      <c r="D119" s="39"/>
      <c r="E119" s="39"/>
      <c r="F119" s="39"/>
      <c r="G119" s="39"/>
      <c r="H119" s="39">
        <v>7</v>
      </c>
      <c r="I119" s="39"/>
      <c r="J119" s="39">
        <v>1</v>
      </c>
      <c r="K119" s="39"/>
      <c r="L119" s="39"/>
      <c r="M119" s="39"/>
      <c r="N119" s="39"/>
      <c r="O119" s="39"/>
      <c r="P119" s="39"/>
      <c r="Q119" s="39"/>
      <c r="R119" s="87"/>
    </row>
    <row r="120" spans="1:18" x14ac:dyDescent="0.25">
      <c r="A120" s="115"/>
      <c r="B120" s="40" t="s">
        <v>113</v>
      </c>
      <c r="C120" s="41"/>
      <c r="D120" s="41"/>
      <c r="E120" s="41">
        <v>12</v>
      </c>
      <c r="F120" s="41">
        <v>12</v>
      </c>
      <c r="G120" s="41"/>
      <c r="H120" s="41">
        <v>12</v>
      </c>
      <c r="I120" s="41"/>
      <c r="J120" s="41"/>
      <c r="K120" s="41">
        <v>9</v>
      </c>
      <c r="L120" s="41"/>
      <c r="M120" s="41"/>
      <c r="N120" s="41">
        <v>7</v>
      </c>
      <c r="O120" s="41">
        <v>1</v>
      </c>
      <c r="P120" s="41"/>
      <c r="Q120" s="41"/>
      <c r="R120" s="88"/>
    </row>
    <row r="121" spans="1:18" ht="45" x14ac:dyDescent="0.25">
      <c r="A121" s="115"/>
      <c r="B121" s="38" t="s">
        <v>114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87"/>
    </row>
    <row r="122" spans="1:18" x14ac:dyDescent="0.25">
      <c r="A122" s="115"/>
      <c r="B122" s="40" t="s">
        <v>115</v>
      </c>
      <c r="C122" s="41"/>
      <c r="D122" s="41"/>
      <c r="E122" s="41"/>
      <c r="F122" s="41"/>
      <c r="G122" s="41"/>
      <c r="H122" s="41"/>
      <c r="I122" s="41"/>
      <c r="J122" s="41">
        <v>12</v>
      </c>
      <c r="K122" s="41"/>
      <c r="L122" s="41"/>
      <c r="M122" s="41"/>
      <c r="N122" s="41"/>
      <c r="O122" s="41"/>
      <c r="P122" s="41"/>
      <c r="Q122" s="41"/>
      <c r="R122" s="88"/>
    </row>
    <row r="123" spans="1:18" x14ac:dyDescent="0.25">
      <c r="A123" s="115"/>
      <c r="B123" s="38" t="s">
        <v>116</v>
      </c>
      <c r="C123" s="39"/>
      <c r="D123" s="39"/>
      <c r="E123" s="39"/>
      <c r="F123" s="39"/>
      <c r="G123" s="39"/>
      <c r="H123" s="39"/>
      <c r="I123" s="39">
        <v>8</v>
      </c>
      <c r="J123" s="39">
        <v>9</v>
      </c>
      <c r="K123" s="39"/>
      <c r="L123" s="39"/>
      <c r="M123" s="39"/>
      <c r="N123" s="39"/>
      <c r="O123" s="39"/>
      <c r="P123" s="39"/>
      <c r="Q123" s="39"/>
      <c r="R123" s="87"/>
    </row>
    <row r="124" spans="1:18" x14ac:dyDescent="0.25">
      <c r="A124" s="115"/>
      <c r="B124" s="40" t="s">
        <v>117</v>
      </c>
      <c r="C124" s="41"/>
      <c r="D124" s="41"/>
      <c r="E124" s="41"/>
      <c r="F124" s="41"/>
      <c r="G124" s="41"/>
      <c r="H124" s="41"/>
      <c r="I124" s="41">
        <v>9</v>
      </c>
      <c r="J124" s="41">
        <v>12</v>
      </c>
      <c r="K124" s="41"/>
      <c r="L124" s="41"/>
      <c r="M124" s="41"/>
      <c r="N124" s="41"/>
      <c r="O124" s="41"/>
      <c r="P124" s="41"/>
      <c r="Q124" s="41"/>
      <c r="R124" s="88"/>
    </row>
    <row r="125" spans="1:18" x14ac:dyDescent="0.25">
      <c r="A125" s="115"/>
      <c r="B125" s="38" t="s">
        <v>118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87"/>
    </row>
    <row r="126" spans="1:18" x14ac:dyDescent="0.25">
      <c r="A126" s="115"/>
      <c r="B126" s="40" t="s">
        <v>119</v>
      </c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88"/>
    </row>
    <row r="127" spans="1:18" x14ac:dyDescent="0.25">
      <c r="A127" s="115"/>
      <c r="B127" s="38" t="s">
        <v>120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87"/>
    </row>
    <row r="128" spans="1:18" x14ac:dyDescent="0.25">
      <c r="A128" s="115"/>
      <c r="B128" s="40" t="s">
        <v>121</v>
      </c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88"/>
    </row>
    <row r="129" spans="1:18" x14ac:dyDescent="0.25">
      <c r="A129" s="115"/>
      <c r="B129" s="38" t="s">
        <v>122</v>
      </c>
      <c r="C129" s="39"/>
      <c r="D129" s="39"/>
      <c r="E129" s="39">
        <v>9</v>
      </c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87"/>
    </row>
    <row r="130" spans="1:18" x14ac:dyDescent="0.25">
      <c r="A130" s="115"/>
      <c r="B130" s="40" t="s">
        <v>123</v>
      </c>
      <c r="C130" s="41"/>
      <c r="D130" s="41"/>
      <c r="E130" s="41">
        <v>7</v>
      </c>
      <c r="F130" s="41"/>
      <c r="G130" s="41"/>
      <c r="H130" s="41"/>
      <c r="I130" s="41"/>
      <c r="J130" s="41">
        <v>12</v>
      </c>
      <c r="K130" s="41">
        <v>7</v>
      </c>
      <c r="L130" s="41"/>
      <c r="M130" s="41"/>
      <c r="N130" s="41"/>
      <c r="O130" s="41"/>
      <c r="P130" s="41"/>
      <c r="Q130" s="41"/>
      <c r="R130" s="88"/>
    </row>
    <row r="131" spans="1:18" ht="30" x14ac:dyDescent="0.25">
      <c r="A131" s="115"/>
      <c r="B131" s="38" t="s">
        <v>124</v>
      </c>
      <c r="C131" s="39"/>
      <c r="D131" s="39"/>
      <c r="E131" s="39"/>
      <c r="F131" s="39"/>
      <c r="G131" s="39"/>
      <c r="H131" s="39"/>
      <c r="I131" s="39"/>
      <c r="J131" s="39">
        <v>12</v>
      </c>
      <c r="K131" s="39">
        <v>7</v>
      </c>
      <c r="L131" s="39"/>
      <c r="M131" s="39"/>
      <c r="N131" s="39"/>
      <c r="O131" s="39"/>
      <c r="P131" s="39"/>
      <c r="Q131" s="39"/>
      <c r="R131" s="87"/>
    </row>
    <row r="132" spans="1:18" ht="30" x14ac:dyDescent="0.25">
      <c r="A132" s="115"/>
      <c r="B132" s="40" t="s">
        <v>125</v>
      </c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88"/>
    </row>
    <row r="133" spans="1:18" x14ac:dyDescent="0.25">
      <c r="A133" s="115"/>
      <c r="B133" s="38" t="s">
        <v>126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87"/>
    </row>
    <row r="134" spans="1:18" x14ac:dyDescent="0.25">
      <c r="A134" s="115"/>
      <c r="B134" s="40" t="s">
        <v>127</v>
      </c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88"/>
    </row>
    <row r="135" spans="1:18" x14ac:dyDescent="0.25">
      <c r="A135" s="115"/>
      <c r="B135" s="38" t="s">
        <v>128</v>
      </c>
      <c r="C135" s="39">
        <v>1</v>
      </c>
      <c r="D135" s="39"/>
      <c r="E135" s="39">
        <v>5</v>
      </c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87"/>
    </row>
    <row r="136" spans="1:18" x14ac:dyDescent="0.25">
      <c r="A136" s="115"/>
      <c r="B136" s="40" t="s">
        <v>129</v>
      </c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88"/>
    </row>
    <row r="137" spans="1:18" x14ac:dyDescent="0.25">
      <c r="A137" s="115"/>
      <c r="B137" s="38" t="s">
        <v>130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87"/>
    </row>
    <row r="138" spans="1:18" x14ac:dyDescent="0.25">
      <c r="A138" s="115"/>
      <c r="B138" s="40" t="s">
        <v>131</v>
      </c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>
        <v>1</v>
      </c>
      <c r="P138" s="41"/>
      <c r="Q138" s="41"/>
      <c r="R138" s="88"/>
    </row>
    <row r="139" spans="1:18" x14ac:dyDescent="0.25">
      <c r="A139" s="115"/>
      <c r="B139" s="38" t="s">
        <v>132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87"/>
    </row>
    <row r="140" spans="1:18" ht="15" customHeight="1" x14ac:dyDescent="0.25">
      <c r="A140" s="105" t="s">
        <v>191</v>
      </c>
      <c r="B140" s="42" t="s">
        <v>133</v>
      </c>
      <c r="C140" s="43">
        <v>3</v>
      </c>
      <c r="D140" s="43"/>
      <c r="E140" s="43">
        <v>9</v>
      </c>
      <c r="F140" s="43">
        <v>7</v>
      </c>
      <c r="G140" s="43"/>
      <c r="H140" s="43">
        <v>9</v>
      </c>
      <c r="I140" s="43">
        <v>12</v>
      </c>
      <c r="J140" s="43">
        <v>7</v>
      </c>
      <c r="K140" s="43">
        <v>3</v>
      </c>
      <c r="L140" s="43"/>
      <c r="M140" s="43"/>
      <c r="N140" s="43">
        <v>7</v>
      </c>
      <c r="O140" s="43"/>
      <c r="P140" s="43"/>
      <c r="Q140" s="43"/>
      <c r="R140" s="89"/>
    </row>
    <row r="141" spans="1:18" x14ac:dyDescent="0.25">
      <c r="A141" s="105"/>
      <c r="B141" s="44" t="s">
        <v>134</v>
      </c>
      <c r="C141" s="45"/>
      <c r="D141" s="45"/>
      <c r="E141" s="45">
        <v>12</v>
      </c>
      <c r="F141" s="45">
        <v>3</v>
      </c>
      <c r="G141" s="45"/>
      <c r="H141" s="45">
        <v>12</v>
      </c>
      <c r="I141" s="45">
        <v>2</v>
      </c>
      <c r="J141" s="45">
        <v>9</v>
      </c>
      <c r="K141" s="45">
        <v>12</v>
      </c>
      <c r="L141" s="45"/>
      <c r="M141" s="45"/>
      <c r="N141" s="45">
        <v>12</v>
      </c>
      <c r="O141" s="45"/>
      <c r="P141" s="45"/>
      <c r="Q141" s="45"/>
      <c r="R141" s="90"/>
    </row>
    <row r="142" spans="1:18" x14ac:dyDescent="0.25">
      <c r="A142" s="105"/>
      <c r="B142" s="42" t="s">
        <v>135</v>
      </c>
      <c r="C142" s="43"/>
      <c r="D142" s="43"/>
      <c r="E142" s="43"/>
      <c r="F142" s="43">
        <v>9</v>
      </c>
      <c r="G142" s="43"/>
      <c r="H142" s="43">
        <v>11</v>
      </c>
      <c r="I142" s="43"/>
      <c r="J142" s="43">
        <v>12</v>
      </c>
      <c r="K142" s="43">
        <v>3</v>
      </c>
      <c r="L142" s="43"/>
      <c r="M142" s="43"/>
      <c r="N142" s="43">
        <v>4</v>
      </c>
      <c r="O142" s="43"/>
      <c r="P142" s="43"/>
      <c r="Q142" s="43"/>
      <c r="R142" s="89"/>
    </row>
    <row r="143" spans="1:18" x14ac:dyDescent="0.25">
      <c r="A143" s="105"/>
      <c r="B143" s="44" t="s">
        <v>136</v>
      </c>
      <c r="C143" s="45">
        <v>1</v>
      </c>
      <c r="D143" s="45"/>
      <c r="E143" s="45">
        <v>12</v>
      </c>
      <c r="F143" s="45">
        <v>7</v>
      </c>
      <c r="G143" s="45"/>
      <c r="H143" s="45">
        <v>9</v>
      </c>
      <c r="I143" s="45">
        <v>2</v>
      </c>
      <c r="J143" s="45"/>
      <c r="K143" s="45"/>
      <c r="L143" s="45"/>
      <c r="M143" s="45"/>
      <c r="N143" s="45"/>
      <c r="O143" s="45">
        <v>3</v>
      </c>
      <c r="P143" s="45"/>
      <c r="Q143" s="45"/>
      <c r="R143" s="90"/>
    </row>
    <row r="144" spans="1:18" x14ac:dyDescent="0.25">
      <c r="A144" s="105"/>
      <c r="B144" s="42" t="s">
        <v>137</v>
      </c>
      <c r="C144" s="43"/>
      <c r="D144" s="43"/>
      <c r="E144" s="43"/>
      <c r="F144" s="43"/>
      <c r="G144" s="43"/>
      <c r="H144" s="43"/>
      <c r="I144" s="43"/>
      <c r="J144" s="43"/>
      <c r="K144" s="43">
        <v>3</v>
      </c>
      <c r="L144" s="43"/>
      <c r="M144" s="43"/>
      <c r="N144" s="43"/>
      <c r="O144" s="43"/>
      <c r="P144" s="43"/>
      <c r="Q144" s="43"/>
      <c r="R144" s="89"/>
    </row>
    <row r="145" spans="1:18" x14ac:dyDescent="0.25">
      <c r="A145" s="105"/>
      <c r="B145" s="44" t="s">
        <v>138</v>
      </c>
      <c r="C145" s="45">
        <v>1</v>
      </c>
      <c r="D145" s="45"/>
      <c r="E145" s="45"/>
      <c r="F145" s="45">
        <v>9</v>
      </c>
      <c r="G145" s="45"/>
      <c r="H145" s="45">
        <v>9</v>
      </c>
      <c r="I145" s="45">
        <v>9</v>
      </c>
      <c r="J145" s="45">
        <v>1</v>
      </c>
      <c r="K145" s="45">
        <v>7</v>
      </c>
      <c r="L145" s="45"/>
      <c r="M145" s="45"/>
      <c r="N145" s="45">
        <v>7</v>
      </c>
      <c r="O145" s="45"/>
      <c r="P145" s="45"/>
      <c r="Q145" s="45"/>
      <c r="R145" s="90"/>
    </row>
    <row r="146" spans="1:18" x14ac:dyDescent="0.25">
      <c r="A146" s="105"/>
      <c r="B146" s="42" t="s">
        <v>139</v>
      </c>
      <c r="C146" s="43"/>
      <c r="D146" s="43"/>
      <c r="E146" s="43">
        <v>9</v>
      </c>
      <c r="F146" s="43">
        <v>7</v>
      </c>
      <c r="G146" s="43"/>
      <c r="H146" s="43">
        <v>7</v>
      </c>
      <c r="I146" s="43">
        <v>12</v>
      </c>
      <c r="J146" s="43">
        <v>7</v>
      </c>
      <c r="K146" s="43">
        <v>7</v>
      </c>
      <c r="L146" s="43"/>
      <c r="M146" s="43"/>
      <c r="N146" s="43"/>
      <c r="O146" s="43"/>
      <c r="P146" s="43"/>
      <c r="Q146" s="43"/>
      <c r="R146" s="89"/>
    </row>
    <row r="147" spans="1:18" x14ac:dyDescent="0.25">
      <c r="A147" s="105"/>
      <c r="B147" s="44" t="s">
        <v>140</v>
      </c>
      <c r="C147" s="45">
        <v>2</v>
      </c>
      <c r="D147" s="45"/>
      <c r="E147" s="45">
        <v>9</v>
      </c>
      <c r="F147" s="45">
        <v>5</v>
      </c>
      <c r="G147" s="45"/>
      <c r="H147" s="45">
        <v>7</v>
      </c>
      <c r="I147" s="45">
        <v>9</v>
      </c>
      <c r="J147" s="45">
        <v>12</v>
      </c>
      <c r="K147" s="45"/>
      <c r="L147" s="45"/>
      <c r="M147" s="45"/>
      <c r="N147" s="45">
        <v>3</v>
      </c>
      <c r="O147" s="45">
        <v>2</v>
      </c>
      <c r="P147" s="45"/>
      <c r="Q147" s="45"/>
      <c r="R147" s="90"/>
    </row>
    <row r="148" spans="1:18" x14ac:dyDescent="0.25">
      <c r="A148" s="105"/>
      <c r="B148" s="42" t="s">
        <v>141</v>
      </c>
      <c r="C148" s="43"/>
      <c r="D148" s="43"/>
      <c r="E148" s="43">
        <v>7</v>
      </c>
      <c r="F148" s="43"/>
      <c r="G148" s="43"/>
      <c r="H148" s="43">
        <v>7</v>
      </c>
      <c r="I148" s="43">
        <v>2</v>
      </c>
      <c r="J148" s="43"/>
      <c r="K148" s="43"/>
      <c r="L148" s="43"/>
      <c r="M148" s="43"/>
      <c r="N148" s="43"/>
      <c r="O148" s="43"/>
      <c r="P148" s="43"/>
      <c r="Q148" s="43"/>
      <c r="R148" s="89"/>
    </row>
    <row r="149" spans="1:18" x14ac:dyDescent="0.25">
      <c r="A149" s="105"/>
      <c r="B149" s="44" t="s">
        <v>142</v>
      </c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90"/>
    </row>
    <row r="150" spans="1:18" x14ac:dyDescent="0.25">
      <c r="A150" s="105"/>
      <c r="B150" s="42" t="s">
        <v>143</v>
      </c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89"/>
    </row>
    <row r="151" spans="1:18" ht="30" x14ac:dyDescent="0.25">
      <c r="A151" s="105"/>
      <c r="B151" s="44" t="s">
        <v>144</v>
      </c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>
        <v>6</v>
      </c>
      <c r="O151" s="45"/>
      <c r="P151" s="45"/>
      <c r="Q151" s="45"/>
      <c r="R151" s="90"/>
    </row>
    <row r="152" spans="1:18" x14ac:dyDescent="0.25">
      <c r="A152" s="105"/>
      <c r="B152" s="42" t="s">
        <v>145</v>
      </c>
      <c r="C152" s="43"/>
      <c r="D152" s="43"/>
      <c r="E152" s="43">
        <v>8</v>
      </c>
      <c r="F152" s="43">
        <v>10</v>
      </c>
      <c r="G152" s="43"/>
      <c r="H152" s="43">
        <v>12</v>
      </c>
      <c r="I152" s="43">
        <v>5</v>
      </c>
      <c r="J152" s="43">
        <v>5</v>
      </c>
      <c r="K152" s="43">
        <v>2</v>
      </c>
      <c r="L152" s="43"/>
      <c r="M152" s="43"/>
      <c r="N152" s="43"/>
      <c r="O152" s="43"/>
      <c r="P152" s="43"/>
      <c r="Q152" s="43"/>
      <c r="R152" s="89"/>
    </row>
    <row r="153" spans="1:18" ht="30" x14ac:dyDescent="0.25">
      <c r="A153" s="105"/>
      <c r="B153" s="44" t="s">
        <v>146</v>
      </c>
      <c r="C153" s="45"/>
      <c r="D153" s="45"/>
      <c r="E153" s="45"/>
      <c r="F153" s="45"/>
      <c r="G153" s="45"/>
      <c r="H153" s="45">
        <v>7</v>
      </c>
      <c r="I153" s="45"/>
      <c r="J153" s="45"/>
      <c r="K153" s="45"/>
      <c r="L153" s="45"/>
      <c r="M153" s="45"/>
      <c r="N153" s="45"/>
      <c r="O153" s="45"/>
      <c r="P153" s="45"/>
      <c r="Q153" s="45"/>
      <c r="R153" s="90"/>
    </row>
    <row r="154" spans="1:18" x14ac:dyDescent="0.25">
      <c r="A154" s="105"/>
      <c r="B154" s="42" t="s">
        <v>147</v>
      </c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89"/>
    </row>
    <row r="155" spans="1:18" x14ac:dyDescent="0.25">
      <c r="A155" s="105"/>
      <c r="B155" s="44" t="s">
        <v>148</v>
      </c>
      <c r="C155" s="45"/>
      <c r="D155" s="45"/>
      <c r="E155" s="45">
        <v>12</v>
      </c>
      <c r="F155" s="45"/>
      <c r="G155" s="45"/>
      <c r="H155" s="45"/>
      <c r="I155" s="45"/>
      <c r="J155" s="45">
        <v>12</v>
      </c>
      <c r="K155" s="45"/>
      <c r="L155" s="45"/>
      <c r="M155" s="45"/>
      <c r="N155" s="45">
        <v>12</v>
      </c>
      <c r="O155" s="45"/>
      <c r="P155" s="45"/>
      <c r="Q155" s="45"/>
      <c r="R155" s="90"/>
    </row>
    <row r="156" spans="1:18" ht="30" x14ac:dyDescent="0.25">
      <c r="A156" s="105"/>
      <c r="B156" s="42" t="s">
        <v>149</v>
      </c>
      <c r="C156" s="43"/>
      <c r="D156" s="43"/>
      <c r="E156" s="43">
        <v>11</v>
      </c>
      <c r="F156" s="43">
        <v>12</v>
      </c>
      <c r="G156" s="43"/>
      <c r="H156" s="43">
        <v>12</v>
      </c>
      <c r="I156" s="43">
        <v>12</v>
      </c>
      <c r="J156" s="43">
        <v>9</v>
      </c>
      <c r="K156" s="43"/>
      <c r="L156" s="43"/>
      <c r="M156" s="43"/>
      <c r="N156" s="43"/>
      <c r="O156" s="43"/>
      <c r="P156" s="43"/>
      <c r="Q156" s="43"/>
      <c r="R156" s="89"/>
    </row>
    <row r="157" spans="1:18" x14ac:dyDescent="0.25">
      <c r="A157" s="105"/>
      <c r="B157" s="44" t="s">
        <v>150</v>
      </c>
      <c r="C157" s="45"/>
      <c r="D157" s="45"/>
      <c r="E157" s="45">
        <v>11</v>
      </c>
      <c r="F157" s="45"/>
      <c r="G157" s="45"/>
      <c r="H157" s="45">
        <v>12</v>
      </c>
      <c r="I157" s="45"/>
      <c r="J157" s="45"/>
      <c r="K157" s="45"/>
      <c r="L157" s="45"/>
      <c r="M157" s="45"/>
      <c r="N157" s="45">
        <v>9</v>
      </c>
      <c r="O157" s="45"/>
      <c r="P157" s="45"/>
      <c r="Q157" s="45"/>
      <c r="R157" s="90"/>
    </row>
    <row r="158" spans="1:18" ht="30" x14ac:dyDescent="0.25">
      <c r="A158" s="105"/>
      <c r="B158" s="42" t="s">
        <v>151</v>
      </c>
      <c r="C158" s="43"/>
      <c r="D158" s="43"/>
      <c r="E158" s="43"/>
      <c r="F158" s="43"/>
      <c r="G158" s="43"/>
      <c r="H158" s="43"/>
      <c r="I158" s="43">
        <v>12</v>
      </c>
      <c r="J158" s="43"/>
      <c r="K158" s="43"/>
      <c r="L158" s="43"/>
      <c r="M158" s="43"/>
      <c r="N158" s="43"/>
      <c r="O158" s="43"/>
      <c r="P158" s="43"/>
      <c r="Q158" s="43"/>
      <c r="R158" s="89"/>
    </row>
    <row r="159" spans="1:18" ht="30" x14ac:dyDescent="0.25">
      <c r="A159" s="105"/>
      <c r="B159" s="44" t="s">
        <v>152</v>
      </c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90"/>
    </row>
    <row r="160" spans="1:18" x14ac:dyDescent="0.25">
      <c r="A160" s="105"/>
      <c r="B160" s="42" t="s">
        <v>153</v>
      </c>
      <c r="C160" s="43"/>
      <c r="D160" s="43"/>
      <c r="E160" s="43">
        <v>9</v>
      </c>
      <c r="F160" s="43"/>
      <c r="G160" s="43"/>
      <c r="H160" s="43"/>
      <c r="I160" s="43"/>
      <c r="J160" s="43"/>
      <c r="K160" s="43"/>
      <c r="L160" s="43"/>
      <c r="M160" s="43"/>
      <c r="N160" s="43">
        <v>5</v>
      </c>
      <c r="O160" s="43">
        <v>3</v>
      </c>
      <c r="P160" s="43"/>
      <c r="Q160" s="43"/>
      <c r="R160" s="89"/>
    </row>
    <row r="161" spans="1:18" x14ac:dyDescent="0.25">
      <c r="A161" s="105"/>
      <c r="B161" s="44" t="s">
        <v>154</v>
      </c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90"/>
    </row>
    <row r="162" spans="1:18" ht="30" x14ac:dyDescent="0.25">
      <c r="A162" s="105"/>
      <c r="B162" s="42" t="s">
        <v>155</v>
      </c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89"/>
    </row>
    <row r="163" spans="1:18" x14ac:dyDescent="0.25">
      <c r="A163" s="105"/>
      <c r="B163" s="44" t="s">
        <v>156</v>
      </c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90"/>
    </row>
    <row r="164" spans="1:18" x14ac:dyDescent="0.25">
      <c r="A164" s="105"/>
      <c r="B164" s="42" t="s">
        <v>157</v>
      </c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89"/>
    </row>
    <row r="165" spans="1:18" ht="30" x14ac:dyDescent="0.25">
      <c r="A165" s="105"/>
      <c r="B165" s="44" t="s">
        <v>158</v>
      </c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90"/>
    </row>
    <row r="166" spans="1:18" x14ac:dyDescent="0.25">
      <c r="A166" s="105"/>
      <c r="B166" s="42" t="s">
        <v>159</v>
      </c>
      <c r="C166" s="43"/>
      <c r="D166" s="43"/>
      <c r="E166" s="43">
        <v>12</v>
      </c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89"/>
    </row>
    <row r="167" spans="1:18" x14ac:dyDescent="0.25">
      <c r="A167" s="105"/>
      <c r="B167" s="44" t="s">
        <v>160</v>
      </c>
      <c r="C167" s="45"/>
      <c r="D167" s="45"/>
      <c r="E167" s="45">
        <v>12</v>
      </c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90"/>
    </row>
    <row r="168" spans="1:18" ht="30" x14ac:dyDescent="0.25">
      <c r="A168" s="105"/>
      <c r="B168" s="42" t="s">
        <v>161</v>
      </c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89"/>
    </row>
    <row r="169" spans="1:18" x14ac:dyDescent="0.25">
      <c r="A169" s="105"/>
      <c r="B169" s="44" t="s">
        <v>162</v>
      </c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90"/>
    </row>
    <row r="170" spans="1:18" x14ac:dyDescent="0.25">
      <c r="A170" s="105"/>
      <c r="B170" s="42" t="s">
        <v>163</v>
      </c>
      <c r="C170" s="43"/>
      <c r="D170" s="43"/>
      <c r="E170" s="43">
        <v>9</v>
      </c>
      <c r="F170" s="43"/>
      <c r="G170" s="43"/>
      <c r="H170" s="43"/>
      <c r="I170" s="43"/>
      <c r="J170" s="43"/>
      <c r="K170" s="43"/>
      <c r="L170" s="43"/>
      <c r="M170" s="43"/>
      <c r="N170" s="43"/>
      <c r="O170" s="43">
        <v>1</v>
      </c>
      <c r="P170" s="43"/>
      <c r="Q170" s="43"/>
      <c r="R170" s="89"/>
    </row>
    <row r="171" spans="1:18" x14ac:dyDescent="0.25">
      <c r="A171" s="105"/>
      <c r="B171" s="44" t="s">
        <v>164</v>
      </c>
      <c r="C171" s="45"/>
      <c r="D171" s="45"/>
      <c r="E171" s="45">
        <v>9</v>
      </c>
      <c r="F171" s="45"/>
      <c r="G171" s="45"/>
      <c r="H171" s="45"/>
      <c r="I171" s="45"/>
      <c r="J171" s="45"/>
      <c r="K171" s="45"/>
      <c r="L171" s="45"/>
      <c r="M171" s="45"/>
      <c r="N171" s="45"/>
      <c r="O171" s="45">
        <v>1</v>
      </c>
      <c r="P171" s="45"/>
      <c r="Q171" s="45"/>
      <c r="R171" s="90"/>
    </row>
    <row r="172" spans="1:18" x14ac:dyDescent="0.25">
      <c r="A172" s="105"/>
      <c r="B172" s="42" t="s">
        <v>165</v>
      </c>
      <c r="C172" s="43"/>
      <c r="D172" s="43"/>
      <c r="E172" s="43"/>
      <c r="F172" s="43"/>
      <c r="G172" s="43"/>
      <c r="H172" s="43"/>
      <c r="I172" s="43"/>
      <c r="J172" s="43">
        <v>5</v>
      </c>
      <c r="K172" s="43"/>
      <c r="L172" s="43"/>
      <c r="M172" s="43"/>
      <c r="N172" s="43"/>
      <c r="O172" s="43">
        <v>2</v>
      </c>
      <c r="P172" s="43"/>
      <c r="Q172" s="43"/>
      <c r="R172" s="89"/>
    </row>
    <row r="173" spans="1:18" x14ac:dyDescent="0.25">
      <c r="A173" s="105"/>
      <c r="B173" s="44" t="s">
        <v>166</v>
      </c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90"/>
    </row>
    <row r="174" spans="1:18" x14ac:dyDescent="0.25">
      <c r="A174" s="105"/>
      <c r="B174" s="42" t="s">
        <v>167</v>
      </c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89"/>
    </row>
    <row r="175" spans="1:18" x14ac:dyDescent="0.25">
      <c r="A175" s="105"/>
      <c r="B175" s="44" t="s">
        <v>168</v>
      </c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90"/>
    </row>
    <row r="176" spans="1:18" ht="15" customHeight="1" x14ac:dyDescent="0.25">
      <c r="A176" s="106" t="s">
        <v>192</v>
      </c>
      <c r="B176" s="46" t="s">
        <v>169</v>
      </c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91"/>
    </row>
    <row r="177" spans="1:18" x14ac:dyDescent="0.25">
      <c r="A177" s="106"/>
      <c r="B177" s="48" t="s">
        <v>170</v>
      </c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92"/>
    </row>
    <row r="178" spans="1:18" x14ac:dyDescent="0.25">
      <c r="A178" s="106"/>
      <c r="B178" s="46" t="s">
        <v>171</v>
      </c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91"/>
    </row>
    <row r="179" spans="1:18" x14ac:dyDescent="0.25">
      <c r="A179" s="106"/>
      <c r="B179" s="48" t="s">
        <v>172</v>
      </c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92"/>
    </row>
    <row r="180" spans="1:18" x14ac:dyDescent="0.25">
      <c r="A180" s="106"/>
      <c r="B180" s="46" t="s">
        <v>173</v>
      </c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91"/>
    </row>
    <row r="181" spans="1:18" x14ac:dyDescent="0.25">
      <c r="A181" s="106"/>
      <c r="B181" s="48" t="s">
        <v>174</v>
      </c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92"/>
    </row>
    <row r="182" spans="1:18" ht="15" customHeight="1" x14ac:dyDescent="0.25">
      <c r="A182" s="107" t="s">
        <v>193</v>
      </c>
      <c r="B182" s="50" t="s">
        <v>175</v>
      </c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93"/>
    </row>
    <row r="183" spans="1:18" x14ac:dyDescent="0.25">
      <c r="A183" s="107"/>
      <c r="B183" s="52" t="s">
        <v>176</v>
      </c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>
        <v>2</v>
      </c>
      <c r="P183" s="53"/>
      <c r="Q183" s="53"/>
      <c r="R183" s="94"/>
    </row>
    <row r="184" spans="1:18" x14ac:dyDescent="0.25">
      <c r="A184" s="107"/>
      <c r="B184" s="50" t="s">
        <v>177</v>
      </c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>
        <v>1</v>
      </c>
      <c r="P184" s="51"/>
      <c r="Q184" s="51"/>
      <c r="R184" s="93"/>
    </row>
    <row r="185" spans="1:18" x14ac:dyDescent="0.25">
      <c r="A185" s="107"/>
      <c r="B185" s="52" t="s">
        <v>178</v>
      </c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>
        <v>2</v>
      </c>
      <c r="P185" s="53"/>
      <c r="Q185" s="53"/>
      <c r="R185" s="94"/>
    </row>
    <row r="186" spans="1:18" x14ac:dyDescent="0.25">
      <c r="A186" s="107"/>
      <c r="B186" s="50" t="s">
        <v>179</v>
      </c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93"/>
    </row>
    <row r="187" spans="1:18" ht="30" x14ac:dyDescent="0.25">
      <c r="A187" s="107"/>
      <c r="B187" s="52" t="s">
        <v>180</v>
      </c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94"/>
    </row>
    <row r="188" spans="1:18" ht="30.75" thickBot="1" x14ac:dyDescent="0.3">
      <c r="A188" s="108"/>
      <c r="B188" s="95" t="s">
        <v>181</v>
      </c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7"/>
    </row>
    <row r="189" spans="1:18" ht="15.75" thickTop="1" x14ac:dyDescent="0.25"/>
  </sheetData>
  <mergeCells count="14">
    <mergeCell ref="A176:A181"/>
    <mergeCell ref="A182:A188"/>
    <mergeCell ref="A70:A82"/>
    <mergeCell ref="A83:A91"/>
    <mergeCell ref="A92:A102"/>
    <mergeCell ref="A103:A110"/>
    <mergeCell ref="A111:A139"/>
    <mergeCell ref="A140:A175"/>
    <mergeCell ref="A5:A14"/>
    <mergeCell ref="A15:A26"/>
    <mergeCell ref="A27:A31"/>
    <mergeCell ref="A32:A41"/>
    <mergeCell ref="A42:A53"/>
    <mergeCell ref="A54:A69"/>
  </mergeCells>
  <conditionalFormatting sqref="C1">
    <cfRule type="expression" dxfId="47" priority="1">
      <formula>$C$3&gt;=7</formula>
    </cfRule>
    <cfRule type="expression" dxfId="46" priority="2">
      <formula>AND($C$3&gt;=6,$C$3&lt;7)</formula>
    </cfRule>
    <cfRule type="expression" dxfId="45" priority="3">
      <formula>$C$3&lt;6</formula>
    </cfRule>
  </conditionalFormatting>
  <conditionalFormatting sqref="D1">
    <cfRule type="expression" dxfId="44" priority="4">
      <formula>$D$3&gt;=7</formula>
    </cfRule>
    <cfRule type="expression" dxfId="43" priority="5">
      <formula>AND($D$3&gt;=6,$D$3&lt;7)</formula>
    </cfRule>
    <cfRule type="expression" dxfId="42" priority="6">
      <formula>$D$3&lt;6</formula>
    </cfRule>
  </conditionalFormatting>
  <conditionalFormatting sqref="E1">
    <cfRule type="expression" dxfId="41" priority="7">
      <formula>$E$3&gt;=7</formula>
    </cfRule>
    <cfRule type="expression" dxfId="40" priority="8">
      <formula>AND($E$3&gt;=6,$E$3&lt;7)</formula>
    </cfRule>
    <cfRule type="expression" dxfId="39" priority="9">
      <formula>$E$3&lt;6</formula>
    </cfRule>
  </conditionalFormatting>
  <conditionalFormatting sqref="F1">
    <cfRule type="expression" dxfId="38" priority="10">
      <formula>$F$3&gt;=7</formula>
    </cfRule>
    <cfRule type="expression" dxfId="37" priority="11">
      <formula>AND($F$3&gt;=6,$F$3&lt;7)</formula>
    </cfRule>
    <cfRule type="expression" dxfId="36" priority="12">
      <formula>$F$3&lt;6</formula>
    </cfRule>
  </conditionalFormatting>
  <conditionalFormatting sqref="G1">
    <cfRule type="expression" dxfId="35" priority="13">
      <formula>$G$3&gt;=7</formula>
    </cfRule>
    <cfRule type="expression" dxfId="34" priority="14">
      <formula>AND($G$3&gt;=6,$G$3&lt;7)</formula>
    </cfRule>
    <cfRule type="expression" dxfId="33" priority="15">
      <formula>$G$3&lt;6</formula>
    </cfRule>
  </conditionalFormatting>
  <conditionalFormatting sqref="H1">
    <cfRule type="expression" dxfId="32" priority="16">
      <formula>$H$3&gt;=7</formula>
    </cfRule>
    <cfRule type="expression" dxfId="31" priority="17">
      <formula>AND($H$3&gt;=6,$H$3&lt;7)</formula>
    </cfRule>
    <cfRule type="expression" dxfId="30" priority="18">
      <formula>$H$3&lt;6</formula>
    </cfRule>
  </conditionalFormatting>
  <conditionalFormatting sqref="I1">
    <cfRule type="expression" dxfId="29" priority="19">
      <formula>$I$3&gt;=7</formula>
    </cfRule>
    <cfRule type="expression" dxfId="28" priority="20">
      <formula>AND($I$3&gt;=6,$I$3&lt;7)</formula>
    </cfRule>
    <cfRule type="expression" dxfId="27" priority="21">
      <formula>$I$3&lt;6</formula>
    </cfRule>
  </conditionalFormatting>
  <conditionalFormatting sqref="J1">
    <cfRule type="expression" dxfId="26" priority="22">
      <formula>$J$3&gt;=7</formula>
    </cfRule>
    <cfRule type="expression" dxfId="25" priority="23">
      <formula>AND($J$3&gt;=6,$J$3&lt;7)</formula>
    </cfRule>
    <cfRule type="expression" dxfId="24" priority="24">
      <formula>$J$3&lt;6</formula>
    </cfRule>
  </conditionalFormatting>
  <conditionalFormatting sqref="K1">
    <cfRule type="expression" dxfId="23" priority="25">
      <formula>$K$3&gt;=7</formula>
    </cfRule>
    <cfRule type="expression" dxfId="22" priority="26">
      <formula>AND($K$3&gt;=6,$K$3&lt;7)</formula>
    </cfRule>
    <cfRule type="expression" dxfId="21" priority="27">
      <formula>$K$3&lt;6</formula>
    </cfRule>
  </conditionalFormatting>
  <conditionalFormatting sqref="L1">
    <cfRule type="expression" dxfId="20" priority="28">
      <formula>$L$3&gt;=7</formula>
    </cfRule>
    <cfRule type="expression" dxfId="19" priority="29">
      <formula>AND($L$3&gt;=6,$L$3&lt;7)</formula>
    </cfRule>
    <cfRule type="expression" dxfId="18" priority="30">
      <formula>$L$3&lt;6</formula>
    </cfRule>
  </conditionalFormatting>
  <conditionalFormatting sqref="M1">
    <cfRule type="expression" dxfId="17" priority="31">
      <formula>$M$3&gt;=7</formula>
    </cfRule>
    <cfRule type="expression" dxfId="16" priority="32">
      <formula>AND($M$3&gt;=6,$M$3&lt;7)</formula>
    </cfRule>
    <cfRule type="expression" dxfId="15" priority="33">
      <formula>$M$3&lt;6</formula>
    </cfRule>
  </conditionalFormatting>
  <conditionalFormatting sqref="N1">
    <cfRule type="expression" dxfId="14" priority="34">
      <formula>$N$3&gt;=7</formula>
    </cfRule>
    <cfRule type="expression" dxfId="13" priority="35">
      <formula>AND($N$3&gt;=6,$N$3&lt;7)</formula>
    </cfRule>
    <cfRule type="expression" dxfId="12" priority="36">
      <formula>$N$3&lt;6</formula>
    </cfRule>
  </conditionalFormatting>
  <conditionalFormatting sqref="O1">
    <cfRule type="expression" dxfId="11" priority="37">
      <formula>$O$3&gt;=7</formula>
    </cfRule>
    <cfRule type="expression" dxfId="10" priority="38">
      <formula>AND($O$3&gt;=6,$O$3&lt;7)</formula>
    </cfRule>
    <cfRule type="expression" dxfId="9" priority="39">
      <formula>$O$3&lt;6</formula>
    </cfRule>
  </conditionalFormatting>
  <conditionalFormatting sqref="P1">
    <cfRule type="expression" dxfId="8" priority="40">
      <formula>$P$3&gt;=7</formula>
    </cfRule>
    <cfRule type="expression" dxfId="7" priority="41">
      <formula>AND($P$3&gt;=6,$C$3&lt;7)</formula>
    </cfRule>
    <cfRule type="expression" dxfId="6" priority="42">
      <formula>$P$3&lt;6</formula>
    </cfRule>
  </conditionalFormatting>
  <conditionalFormatting sqref="Q1">
    <cfRule type="expression" dxfId="5" priority="43">
      <formula>$Q$3&gt;=7</formula>
    </cfRule>
    <cfRule type="expression" dxfId="4" priority="44">
      <formula>AND($Q$3&gt;=6,$Q$3&lt;7)</formula>
    </cfRule>
    <cfRule type="expression" dxfId="3" priority="45">
      <formula>$Q$3&lt;6</formula>
    </cfRule>
  </conditionalFormatting>
  <conditionalFormatting sqref="R1">
    <cfRule type="expression" dxfId="2" priority="46">
      <formula>$R$3&gt;=7</formula>
    </cfRule>
    <cfRule type="expression" dxfId="1" priority="47">
      <formula>AND($R$3&gt;=6,$R$3&lt;7)</formula>
    </cfRule>
    <cfRule type="expression" dxfId="0" priority="48">
      <formula>$R$3&lt;6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Фикрет Зейналов</dc:creator>
  <cp:lastModifiedBy>Фикрет Зейналов</cp:lastModifiedBy>
  <dcterms:created xsi:type="dcterms:W3CDTF">2015-06-05T18:17:20Z</dcterms:created>
  <dcterms:modified xsi:type="dcterms:W3CDTF">2023-11-14T06:39:44Z</dcterms:modified>
</cp:coreProperties>
</file>