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IT Step\Bootcamp\PB\Урок 67-68. Презентация финального проекта\233BC_Python_1900\"/>
    </mc:Choice>
  </mc:AlternateContent>
  <xr:revisionPtr revIDLastSave="0" documentId="13_ncr:1_{A774617D-1F15-44CC-A88D-A83495ED34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4" i="1"/>
  <c r="B14" i="1"/>
  <c r="B3" i="1"/>
  <c r="B5" i="1"/>
  <c r="B6" i="1"/>
  <c r="B7" i="1"/>
  <c r="B9" i="1"/>
  <c r="B10" i="1"/>
  <c r="B11" i="1"/>
  <c r="B12" i="1"/>
  <c r="B13" i="1"/>
  <c r="B15" i="1"/>
  <c r="B16" i="1"/>
  <c r="B17" i="1"/>
  <c r="B2" i="1"/>
</calcChain>
</file>

<file path=xl/sharedStrings.xml><?xml version="1.0" encoding="utf-8"?>
<sst xmlns="http://schemas.openxmlformats.org/spreadsheetml/2006/main" count="60" uniqueCount="40">
  <si>
    <t>Имя Фамилия Отчество</t>
  </si>
  <si>
    <t>Правильное использование ООП (абстракция, инкапсуляция(2))</t>
  </si>
  <si>
    <t>Реализован CRUD в базе данных</t>
  </si>
  <si>
    <t>Использование агрегации</t>
  </si>
  <si>
    <t>Сохранение и загрузка базы данных</t>
  </si>
  <si>
    <t>Рабочий и аккуратный фронтенд (фреймы, меню)</t>
  </si>
  <si>
    <t>Студент разбирается в своём коде</t>
  </si>
  <si>
    <t>Решение задачи финального проекта</t>
  </si>
  <si>
    <t>Итоговый балл</t>
  </si>
  <si>
    <t>Абдурехманлы Рауль Анар</t>
  </si>
  <si>
    <t>Байрамов Зия Рашад</t>
  </si>
  <si>
    <t>Гамарли Омар Шахин</t>
  </si>
  <si>
    <t>Гасанлы Али Рамин</t>
  </si>
  <si>
    <t>Зиялы Дуйгу Вусад</t>
  </si>
  <si>
    <t>Мамедли Назрин Вахид</t>
  </si>
  <si>
    <t>Меджидзаде Мурад Магоммед</t>
  </si>
  <si>
    <t>Меджидов Сабир Ровшан</t>
  </si>
  <si>
    <t>Салхаки Марат Теймур</t>
  </si>
  <si>
    <t>Сеидов Мирильхам Халид</t>
  </si>
  <si>
    <t>Эфендиев Руфат Эльдар</t>
  </si>
  <si>
    <t>Мин=1 Макс=12</t>
  </si>
  <si>
    <t>Комментарий</t>
  </si>
  <si>
    <t>Не отправил ФП и много ДЗ на 1, 2, 3 балла</t>
  </si>
  <si>
    <t>ФП в очень плохом состоянии и много ДЗ на 1, 2, 3 балла</t>
  </si>
  <si>
    <t>ФП в очень плохом состоянии. После ИУ не доделывал.</t>
  </si>
  <si>
    <t>В бэкенде сохранение есть, но на фронтенде не реализовал через кнопку. Фронтенд немного гружённый. На фронтенде в функциях аренды есть некоторые ошибки. В базе данных поиск возвращает 2 типа данных, при его использовании нет проверок на типы данных.</t>
  </si>
  <si>
    <t>Большинство функций фронтенда не связал с бэкендом. Добавление в бэкенде не проверяет на дубликаты. Сохранение и загрузку не реализовал в бэкенде, на фронтенде сделал для списков. Фронтенд неаккуратный, визуально не оформлен. Бронирование по сути не работает, так как нет связки с бэкендом.</t>
  </si>
  <si>
    <t>На фронтенде отсутствуют проверки на некоторые поля, комбобоксы, из-за чего можно вызвать падение программы, есть визуальная проблема с листбоксом - не обновляется при добавлении товара с тем же идентификатором. Сохранение и загрузку в бэкенде реализовал, на фронтенде тоже, но некоторые комбобоксы после загрузки не берут данные из бэкенда (решается проблема действиями над листбоксами). На фронтенде из комбобоксов получает индексы и обращается по этим индексам к спискам из базы данных (нужно было использовать поиск по идентификатору для безопасности получения данных).</t>
  </si>
  <si>
    <t>На третьем фрейме комбобоксы вызывают падение программы, поэтому невозможно передать клиенту товар. Не отправила картинки и не делала проверки полей. Сохранение и загрузку никак не реализовала.</t>
  </si>
  <si>
    <t xml:space="preserve">Последние проверки в каждой функции на фронтенде некорректно сделаны. Явное использование глобальных переменных. </t>
  </si>
  <si>
    <t>В базе данных сохранение и загрузка есть, на фронтенде загрузка неверно работает, сохранение сделал через явную глобальную переменную. На фронтенде много ошибок - невозможно добавить карту клиентам, очищение корзины не возвращают товары, ломается, если довести товар до отрицательного значения, после этого невозможно добавлять товары. В классах агрегация сделана через словари.</t>
  </si>
  <si>
    <t>Сохранение и загрузку в бэкенде не реализовал, на фронтенде просто сделал заготовку. Неверно отправил проект, поэтому картинки не работают. Client-&gt;product-&gt;client фреймы неверно. Невозможно работать с клиентом, карточками, блюдами. CRUD самостоятельно реализовать не смог.</t>
  </si>
  <si>
    <t>ФП в очень плохом состоянии и много ДЗ на 1, 2, 3 балла. UPD 12.01.2024: пересдал на 3, вижу, что код взял у другого студента, а именно у Салхаки Марата Теймура.</t>
  </si>
  <si>
    <t>Итог 9</t>
  </si>
  <si>
    <t>Итог 7</t>
  </si>
  <si>
    <t>Итог 12</t>
  </si>
  <si>
    <t>Пересдача 3</t>
  </si>
  <si>
    <t>Итог 5. Пересдача 7</t>
  </si>
  <si>
    <t>Итог 3. Пересдача 7</t>
  </si>
  <si>
    <t>Итог 4. Пересдача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</si>
</sst>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  <xf numFmtId="0" fontId="0" fillId="0" borderId="0" xfId="0" applyAlignment="1">
      <alignment horizontal="center" vertical="top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45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J16" sqref="J16"/>
    </sheetView>
  </sheetViews>
  <sheetFormatPr defaultRowHeight="15" x14ac:dyDescent="0.25"/>
  <cols>
    <col min="1" max="1" width="31.7109375" bestFit="1" customWidth="1"/>
    <col min="2" max="2" width="10" bestFit="1" customWidth="1"/>
    <col min="3" max="3" width="31.7109375" bestFit="1" customWidth="1"/>
    <col min="4" max="4" width="18.85546875" bestFit="1" customWidth="1"/>
    <col min="5" max="5" width="15.28515625" bestFit="1" customWidth="1"/>
    <col min="6" max="6" width="22.140625" bestFit="1" customWidth="1"/>
    <col min="7" max="7" width="27.140625" bestFit="1" customWidth="1"/>
    <col min="8" max="8" width="20.42578125" bestFit="1" customWidth="1"/>
    <col min="9" max="9" width="20.140625" bestFit="1" customWidth="1"/>
    <col min="10" max="10" width="21.85546875" bestFit="1" customWidth="1"/>
  </cols>
  <sheetData>
    <row r="1" spans="1:10" ht="30" x14ac:dyDescent="0.25">
      <c r="A1" s="7" t="s">
        <v>20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x14ac:dyDescent="0.25">
      <c r="A2" s="2" t="s">
        <v>9</v>
      </c>
      <c r="B2" s="5">
        <f>IF(COUNTIF(C2:I2,"&lt;&gt;")=7,SUM(C2:I2)/7,1)</f>
        <v>9.2857142857142865</v>
      </c>
      <c r="C2" s="3">
        <v>11</v>
      </c>
      <c r="D2" s="3">
        <v>12</v>
      </c>
      <c r="E2" s="3">
        <v>12</v>
      </c>
      <c r="F2" s="3">
        <v>6</v>
      </c>
      <c r="G2" s="3">
        <v>8</v>
      </c>
      <c r="H2" s="3">
        <v>7</v>
      </c>
      <c r="I2" s="3">
        <v>9</v>
      </c>
      <c r="J2" t="s">
        <v>33</v>
      </c>
    </row>
    <row r="3" spans="1:10" x14ac:dyDescent="0.25">
      <c r="A3" s="2" t="s">
        <v>10</v>
      </c>
      <c r="B3" s="6">
        <f t="shared" ref="B3:B17" si="0">IF(COUNTIF(C3:I3,"&lt;&gt;")=7,SUM(C3:I3)/7,1)</f>
        <v>7.1428571428571432</v>
      </c>
      <c r="C3" s="4">
        <v>7</v>
      </c>
      <c r="D3" s="4">
        <v>7</v>
      </c>
      <c r="E3" s="4">
        <v>9</v>
      </c>
      <c r="F3" s="4">
        <v>3</v>
      </c>
      <c r="G3" s="4">
        <v>7</v>
      </c>
      <c r="H3" s="4">
        <v>10</v>
      </c>
      <c r="I3" s="4">
        <v>7</v>
      </c>
      <c r="J3" t="s">
        <v>39</v>
      </c>
    </row>
    <row r="4" spans="1:10" x14ac:dyDescent="0.25">
      <c r="A4" s="2" t="s">
        <v>11</v>
      </c>
      <c r="B4" s="5">
        <f>IF(COUNTIF(C4:I4,"&lt;&gt;")=7,SUM(C4:I4)/7,1)</f>
        <v>9.5714285714285712</v>
      </c>
      <c r="C4" s="3">
        <v>9</v>
      </c>
      <c r="D4" s="3">
        <v>12</v>
      </c>
      <c r="E4" s="3">
        <v>12</v>
      </c>
      <c r="F4" s="3">
        <v>9</v>
      </c>
      <c r="G4" s="3">
        <v>9</v>
      </c>
      <c r="H4" s="3">
        <v>7</v>
      </c>
      <c r="I4" s="3">
        <v>9</v>
      </c>
      <c r="J4" t="s">
        <v>33</v>
      </c>
    </row>
    <row r="5" spans="1:10" x14ac:dyDescent="0.25">
      <c r="A5" s="2" t="s">
        <v>12</v>
      </c>
      <c r="B5" s="6">
        <f t="shared" si="0"/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</row>
    <row r="6" spans="1:10" x14ac:dyDescent="0.25">
      <c r="A6" s="2" t="s">
        <v>13</v>
      </c>
      <c r="B6" s="5">
        <f t="shared" si="0"/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10" x14ac:dyDescent="0.25">
      <c r="A7" s="2" t="s">
        <v>14</v>
      </c>
      <c r="B7" s="6">
        <f t="shared" si="0"/>
        <v>8</v>
      </c>
      <c r="C7" s="4">
        <v>9</v>
      </c>
      <c r="D7" s="4">
        <v>12</v>
      </c>
      <c r="E7" s="4">
        <v>12</v>
      </c>
      <c r="F7" s="4">
        <v>9</v>
      </c>
      <c r="G7" s="4">
        <v>5</v>
      </c>
      <c r="H7" s="4">
        <v>3</v>
      </c>
      <c r="I7" s="4">
        <v>6</v>
      </c>
      <c r="J7" t="s">
        <v>34</v>
      </c>
    </row>
    <row r="8" spans="1:10" x14ac:dyDescent="0.25">
      <c r="A8" s="2" t="s">
        <v>15</v>
      </c>
      <c r="B8" s="5">
        <f t="shared" si="0"/>
        <v>11.714285714285714</v>
      </c>
      <c r="C8" s="3">
        <v>11</v>
      </c>
      <c r="D8" s="3">
        <v>12</v>
      </c>
      <c r="E8" s="3">
        <v>12</v>
      </c>
      <c r="F8" s="3">
        <v>12</v>
      </c>
      <c r="G8" s="3">
        <v>11</v>
      </c>
      <c r="H8" s="3">
        <v>12</v>
      </c>
      <c r="I8" s="3">
        <v>12</v>
      </c>
      <c r="J8" t="s">
        <v>35</v>
      </c>
    </row>
    <row r="9" spans="1:10" x14ac:dyDescent="0.25">
      <c r="A9" s="2" t="s">
        <v>16</v>
      </c>
      <c r="B9" s="6">
        <f t="shared" si="0"/>
        <v>3.4285714285714284</v>
      </c>
      <c r="C9" s="4">
        <v>3</v>
      </c>
      <c r="D9" s="4">
        <v>3</v>
      </c>
      <c r="E9" s="4">
        <v>3</v>
      </c>
      <c r="F9" s="4">
        <v>6</v>
      </c>
      <c r="G9" s="4">
        <v>3</v>
      </c>
      <c r="H9" s="4">
        <v>3</v>
      </c>
      <c r="I9" s="4">
        <v>3</v>
      </c>
      <c r="J9" t="s">
        <v>36</v>
      </c>
    </row>
    <row r="10" spans="1:10" x14ac:dyDescent="0.25">
      <c r="A10" s="2" t="s">
        <v>17</v>
      </c>
      <c r="B10" s="5">
        <f t="shared" si="0"/>
        <v>7.7142857142857144</v>
      </c>
      <c r="C10" s="3">
        <v>7</v>
      </c>
      <c r="D10" s="3">
        <v>7</v>
      </c>
      <c r="E10" s="3">
        <v>9</v>
      </c>
      <c r="F10" s="3">
        <v>12</v>
      </c>
      <c r="G10" s="3">
        <v>5</v>
      </c>
      <c r="H10" s="3">
        <v>7</v>
      </c>
      <c r="I10" s="3">
        <v>7</v>
      </c>
      <c r="J10" t="s">
        <v>37</v>
      </c>
    </row>
    <row r="11" spans="1:10" x14ac:dyDescent="0.25">
      <c r="A11" s="2" t="s">
        <v>18</v>
      </c>
      <c r="B11" s="6">
        <f t="shared" si="0"/>
        <v>6.4285714285714288</v>
      </c>
      <c r="C11" s="4">
        <v>6</v>
      </c>
      <c r="D11" s="4">
        <v>9</v>
      </c>
      <c r="E11" s="4">
        <v>7</v>
      </c>
      <c r="F11" s="4">
        <v>3</v>
      </c>
      <c r="G11" s="4">
        <v>6</v>
      </c>
      <c r="H11" s="4">
        <v>7</v>
      </c>
      <c r="I11" s="4">
        <v>7</v>
      </c>
      <c r="J11" t="s">
        <v>38</v>
      </c>
    </row>
    <row r="12" spans="1:10" x14ac:dyDescent="0.25">
      <c r="A12" s="2" t="s">
        <v>19</v>
      </c>
      <c r="B12" s="5">
        <f t="shared" si="0"/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</row>
    <row r="13" spans="1:10" x14ac:dyDescent="0.25">
      <c r="A13" s="2" t="s">
        <v>0</v>
      </c>
      <c r="B13" s="6">
        <f t="shared" si="0"/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</row>
    <row r="14" spans="1:10" x14ac:dyDescent="0.25">
      <c r="A14" s="2" t="s">
        <v>0</v>
      </c>
      <c r="B14" s="5">
        <f t="shared" ref="B14" si="1">IF(COUNTIF(C14:I14,"&lt;&gt;")=7,SUM(C14:I14)/7,1)</f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</row>
    <row r="15" spans="1:10" x14ac:dyDescent="0.25">
      <c r="A15" s="2" t="s">
        <v>0</v>
      </c>
      <c r="B15" s="6">
        <f t="shared" si="0"/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</row>
    <row r="16" spans="1:10" x14ac:dyDescent="0.25">
      <c r="A16" s="2" t="s">
        <v>0</v>
      </c>
      <c r="B16" s="5">
        <f t="shared" si="0"/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25">
      <c r="A17" s="2" t="s">
        <v>0</v>
      </c>
      <c r="B17" s="6">
        <f t="shared" si="0"/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</row>
  </sheetData>
  <conditionalFormatting sqref="A2">
    <cfRule type="expression" dxfId="44" priority="51">
      <formula>$B$2&lt;6</formula>
    </cfRule>
    <cfRule type="expression" dxfId="43" priority="49">
      <formula>$B$2&gt;=7</formula>
    </cfRule>
    <cfRule type="expression" dxfId="42" priority="50">
      <formula>AND($B$2&gt;=6,$B$2&lt;7)</formula>
    </cfRule>
  </conditionalFormatting>
  <conditionalFormatting sqref="A3">
    <cfRule type="expression" dxfId="41" priority="48">
      <formula>$B$3&lt;6</formula>
    </cfRule>
    <cfRule type="expression" dxfId="40" priority="47">
      <formula>AND($B$3&gt;=6,$B$3&lt;7)</formula>
    </cfRule>
    <cfRule type="expression" dxfId="39" priority="46">
      <formula>$B$3&gt;=7</formula>
    </cfRule>
  </conditionalFormatting>
  <conditionalFormatting sqref="A4">
    <cfRule type="expression" dxfId="38" priority="45">
      <formula>$B$4&gt;=7</formula>
    </cfRule>
    <cfRule type="expression" dxfId="37" priority="31">
      <formula>AND($B$4&gt;=6,$B$4&lt;7)</formula>
    </cfRule>
    <cfRule type="expression" dxfId="36" priority="17">
      <formula>$B$4&lt;6</formula>
    </cfRule>
  </conditionalFormatting>
  <conditionalFormatting sqref="A5">
    <cfRule type="expression" dxfId="35" priority="44">
      <formula>$B$5&gt;=7</formula>
    </cfRule>
    <cfRule type="expression" dxfId="34" priority="30">
      <formula>AND($B$5&gt;=6,$B$5&lt;7)</formula>
    </cfRule>
    <cfRule type="expression" dxfId="33" priority="16">
      <formula>$B$5&lt;6</formula>
    </cfRule>
  </conditionalFormatting>
  <conditionalFormatting sqref="A6">
    <cfRule type="expression" dxfId="32" priority="43">
      <formula>$B$6&gt;=7</formula>
    </cfRule>
    <cfRule type="expression" dxfId="31" priority="15">
      <formula>$B$6&lt;6</formula>
    </cfRule>
    <cfRule type="expression" dxfId="30" priority="29">
      <formula>AND($B$6&gt;=6,$B$6&lt;7)</formula>
    </cfRule>
  </conditionalFormatting>
  <conditionalFormatting sqref="A7">
    <cfRule type="expression" dxfId="29" priority="27">
      <formula>AND($B$7&gt;=6,$B$7&lt;7)</formula>
    </cfRule>
    <cfRule type="expression" dxfId="28" priority="41">
      <formula>$B$7&gt;=7</formula>
    </cfRule>
    <cfRule type="expression" dxfId="27" priority="13">
      <formula>$B$7&lt;6</formula>
    </cfRule>
  </conditionalFormatting>
  <conditionalFormatting sqref="A8">
    <cfRule type="expression" dxfId="26" priority="12">
      <formula>$B$8&lt;6</formula>
    </cfRule>
    <cfRule type="expression" dxfId="25" priority="26">
      <formula>AND($B$8&gt;=6,$B$8&lt;7)</formula>
    </cfRule>
    <cfRule type="expression" dxfId="24" priority="40">
      <formula>$B$8&gt;=7</formula>
    </cfRule>
  </conditionalFormatting>
  <conditionalFormatting sqref="A9">
    <cfRule type="expression" dxfId="23" priority="25">
      <formula>AND($B$9&gt;=6,$B$9&lt;7)</formula>
    </cfRule>
    <cfRule type="expression" dxfId="22" priority="39">
      <formula>$B$9&gt;=7</formula>
    </cfRule>
    <cfRule type="expression" dxfId="21" priority="11">
      <formula>$B$9&lt;6</formula>
    </cfRule>
  </conditionalFormatting>
  <conditionalFormatting sqref="A10">
    <cfRule type="expression" dxfId="20" priority="10">
      <formula>$B$10&lt;6</formula>
    </cfRule>
    <cfRule type="expression" dxfId="19" priority="38">
      <formula>$B$10&gt;=7</formula>
    </cfRule>
    <cfRule type="expression" dxfId="18" priority="24">
      <formula>AND($B$10&gt;=6,$B$10&lt;7)</formula>
    </cfRule>
  </conditionalFormatting>
  <conditionalFormatting sqref="A11">
    <cfRule type="expression" dxfId="17" priority="9">
      <formula>$B$11&lt;6</formula>
    </cfRule>
    <cfRule type="expression" dxfId="16" priority="37">
      <formula>$B$11&gt;=7</formula>
    </cfRule>
    <cfRule type="expression" dxfId="15" priority="23">
      <formula>AND($B$11&gt;=6,$B$11&lt;7)</formula>
    </cfRule>
  </conditionalFormatting>
  <conditionalFormatting sqref="A12">
    <cfRule type="expression" dxfId="14" priority="8">
      <formula>$B$12&lt;6</formula>
    </cfRule>
    <cfRule type="expression" dxfId="13" priority="36">
      <formula>$B$12&gt;=7</formula>
    </cfRule>
    <cfRule type="expression" dxfId="12" priority="22">
      <formula>AND($B$12&gt;=6,$B$12&lt;7)</formula>
    </cfRule>
  </conditionalFormatting>
  <conditionalFormatting sqref="A13">
    <cfRule type="expression" dxfId="11" priority="21">
      <formula>AND($B$13&gt;=6,$B$13&lt;7)</formula>
    </cfRule>
    <cfRule type="expression" dxfId="10" priority="7">
      <formula>$B$13&lt;6</formula>
    </cfRule>
    <cfRule type="expression" dxfId="9" priority="35">
      <formula>$B$13&gt;=7</formula>
    </cfRule>
  </conditionalFormatting>
  <conditionalFormatting sqref="A14:A15">
    <cfRule type="expression" dxfId="8" priority="3">
      <formula>$B$15&gt;=7</formula>
    </cfRule>
    <cfRule type="expression" dxfId="7" priority="2">
      <formula>AND($B$15&gt;=6,$B$15&lt;7)</formula>
    </cfRule>
    <cfRule type="expression" dxfId="6" priority="1">
      <formula>$B$15&lt;6</formula>
    </cfRule>
  </conditionalFormatting>
  <conditionalFormatting sqref="A16">
    <cfRule type="expression" dxfId="5" priority="33">
      <formula>$B$16&gt;=7</formula>
    </cfRule>
    <cfRule type="expression" dxfId="4" priority="19">
      <formula>AND($B$16&gt;=6,$B$16&lt;7)</formula>
    </cfRule>
    <cfRule type="expression" dxfId="3" priority="5">
      <formula>$B$16&lt;6</formula>
    </cfRule>
  </conditionalFormatting>
  <conditionalFormatting sqref="A17">
    <cfRule type="expression" dxfId="2" priority="32">
      <formula>$B$17&gt;=7</formula>
    </cfRule>
    <cfRule type="expression" dxfId="1" priority="4">
      <formula>$B$17&lt;6</formula>
    </cfRule>
    <cfRule type="expression" dxfId="0" priority="18">
      <formula>AND($B$17&gt;=6,$B$17&lt;7)</formula>
    </cfRule>
  </conditionalFormatting>
  <pageMargins left="0.7" right="0.7" top="0.75" bottom="0.75" header="0.3" footer="0.3"/>
  <pageSetup orientation="portrait" r:id="rId1"/>
  <ignoredErrors>
    <ignoredError sqref="B8 B4 B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26E1-3A32-4D6E-83B4-877F8AEA82A8}">
  <dimension ref="A1:B16"/>
  <sheetViews>
    <sheetView workbookViewId="0">
      <selection activeCell="J10" sqref="J10"/>
    </sheetView>
  </sheetViews>
  <sheetFormatPr defaultRowHeight="15" x14ac:dyDescent="0.25"/>
  <cols>
    <col min="1" max="1" width="31.7109375" bestFit="1" customWidth="1"/>
    <col min="2" max="2" width="101.5703125" bestFit="1" customWidth="1"/>
  </cols>
  <sheetData>
    <row r="1" spans="1:2" x14ac:dyDescent="0.25">
      <c r="B1" s="9" t="s">
        <v>21</v>
      </c>
    </row>
    <row r="2" spans="1:2" ht="45" x14ac:dyDescent="0.25">
      <c r="A2" s="8" t="s">
        <v>9</v>
      </c>
      <c r="B2" s="10" t="s">
        <v>25</v>
      </c>
    </row>
    <row r="3" spans="1:2" ht="60" x14ac:dyDescent="0.25">
      <c r="A3" s="8" t="s">
        <v>10</v>
      </c>
      <c r="B3" s="10" t="s">
        <v>26</v>
      </c>
    </row>
    <row r="4" spans="1:2" ht="105" x14ac:dyDescent="0.25">
      <c r="A4" s="8" t="s">
        <v>11</v>
      </c>
      <c r="B4" s="10" t="s">
        <v>27</v>
      </c>
    </row>
    <row r="5" spans="1:2" x14ac:dyDescent="0.25">
      <c r="A5" s="8" t="s">
        <v>12</v>
      </c>
      <c r="B5" s="10" t="s">
        <v>24</v>
      </c>
    </row>
    <row r="6" spans="1:2" x14ac:dyDescent="0.25">
      <c r="A6" s="8" t="s">
        <v>13</v>
      </c>
      <c r="B6" s="10" t="s">
        <v>23</v>
      </c>
    </row>
    <row r="7" spans="1:2" ht="30" x14ac:dyDescent="0.25">
      <c r="A7" s="8" t="s">
        <v>14</v>
      </c>
      <c r="B7" s="10" t="s">
        <v>28</v>
      </c>
    </row>
    <row r="8" spans="1:2" ht="30" x14ac:dyDescent="0.25">
      <c r="A8" s="8" t="s">
        <v>15</v>
      </c>
      <c r="B8" s="10" t="s">
        <v>29</v>
      </c>
    </row>
    <row r="9" spans="1:2" ht="30" x14ac:dyDescent="0.25">
      <c r="A9" s="8" t="s">
        <v>16</v>
      </c>
      <c r="B9" s="10" t="s">
        <v>32</v>
      </c>
    </row>
    <row r="10" spans="1:2" ht="60" x14ac:dyDescent="0.25">
      <c r="A10" s="8" t="s">
        <v>17</v>
      </c>
      <c r="B10" s="10" t="s">
        <v>30</v>
      </c>
    </row>
    <row r="11" spans="1:2" ht="45" x14ac:dyDescent="0.25">
      <c r="A11" s="8" t="s">
        <v>18</v>
      </c>
      <c r="B11" s="10" t="s">
        <v>31</v>
      </c>
    </row>
    <row r="12" spans="1:2" x14ac:dyDescent="0.25">
      <c r="A12" s="8" t="s">
        <v>19</v>
      </c>
      <c r="B12" s="10" t="s">
        <v>22</v>
      </c>
    </row>
    <row r="13" spans="1:2" x14ac:dyDescent="0.25">
      <c r="A13" s="8" t="s">
        <v>0</v>
      </c>
      <c r="B13" s="10"/>
    </row>
    <row r="14" spans="1:2" x14ac:dyDescent="0.25">
      <c r="A14" s="8" t="s">
        <v>0</v>
      </c>
      <c r="B14" s="10"/>
    </row>
    <row r="15" spans="1:2" x14ac:dyDescent="0.25">
      <c r="A15" s="8" t="s">
        <v>0</v>
      </c>
      <c r="B15" s="10"/>
    </row>
    <row r="16" spans="1:2" x14ac:dyDescent="0.25">
      <c r="A16" s="8" t="s">
        <v>0</v>
      </c>
      <c r="B1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Zeynalov Fikret Elxan</dc:creator>
  <cp:lastModifiedBy>Fikret Zeynalov</cp:lastModifiedBy>
  <dcterms:created xsi:type="dcterms:W3CDTF">2015-06-05T18:17:20Z</dcterms:created>
  <dcterms:modified xsi:type="dcterms:W3CDTF">2024-01-19T13:20:32Z</dcterms:modified>
</cp:coreProperties>
</file>